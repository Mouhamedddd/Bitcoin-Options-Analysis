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6a225b7b7c1604e/Documents/A4/AVB/projet/"/>
    </mc:Choice>
  </mc:AlternateContent>
  <xr:revisionPtr revIDLastSave="367" documentId="8_{64BF7622-DC45-4785-A0CD-E573289D9A37}" xr6:coauthVersionLast="47" xr6:coauthVersionMax="47" xr10:uidLastSave="{45144CAD-0AD5-4C96-AB89-0A7EBA67A644}"/>
  <bookViews>
    <workbookView xWindow="-108" yWindow="-108" windowWidth="23256" windowHeight="12456" xr2:uid="{FB9C3EE8-AB79-4FE4-93ED-AB0C2B6C6F61}"/>
  </bookViews>
  <sheets>
    <sheet name="BTC-26SEP25-export" sheetId="1" r:id="rId1"/>
  </sheets>
  <functionGroups builtInGroupCount="19"/>
  <definedNames>
    <definedName name="_xleta.AND" hidden="1" xlm="1">#NAME?</definedName>
    <definedName name="_xleta.TO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7" i="1" l="1"/>
  <c r="AE69" i="1"/>
  <c r="AE68" i="1"/>
  <c r="AE67" i="1"/>
  <c r="AE55" i="1"/>
  <c r="AE54" i="1"/>
  <c r="AE53" i="1"/>
  <c r="AE41" i="1"/>
  <c r="AE40" i="1"/>
  <c r="V40" i="1"/>
  <c r="AE39" i="1"/>
  <c r="AE38" i="1"/>
  <c r="W14" i="1"/>
  <c r="AE25" i="1"/>
  <c r="AE24" i="1"/>
  <c r="AE23" i="1"/>
  <c r="AE13" i="1"/>
  <c r="V13" i="1"/>
  <c r="AE12" i="1"/>
  <c r="AE11" i="1"/>
  <c r="AE10" i="1"/>
  <c r="AE9" i="1"/>
  <c r="W74" i="1"/>
  <c r="W60" i="1"/>
  <c r="W73" i="1"/>
  <c r="W72" i="1"/>
  <c r="W71" i="1"/>
  <c r="W70" i="1"/>
  <c r="V69" i="1"/>
  <c r="V68" i="1"/>
  <c r="V67" i="1"/>
  <c r="W59" i="1"/>
  <c r="W58" i="1"/>
  <c r="W57" i="1"/>
  <c r="W56" i="1"/>
  <c r="V55" i="1"/>
  <c r="V54" i="1"/>
  <c r="V53" i="1"/>
  <c r="W46" i="1"/>
  <c r="W42" i="1"/>
  <c r="V38" i="1"/>
  <c r="W45" i="1"/>
  <c r="W43" i="1"/>
  <c r="V39" i="1"/>
  <c r="V24" i="1"/>
  <c r="V23" i="1"/>
  <c r="V11" i="1"/>
  <c r="V9" i="1"/>
  <c r="V12" i="1"/>
  <c r="V10" i="1"/>
  <c r="X6" i="1"/>
  <c r="W6" i="1"/>
  <c r="V6" i="1"/>
  <c r="Z6" i="1"/>
  <c r="AA6" i="1" s="1"/>
  <c r="AF74" i="1" a="1"/>
  <c r="AF73" i="1" a="1"/>
  <c r="AF72" i="1" a="1"/>
  <c r="AF71" i="1" a="1"/>
  <c r="AF70" i="1" a="1"/>
  <c r="AF60" i="1" a="1"/>
  <c r="AF59" i="1" a="1"/>
  <c r="AF58" i="1" a="1"/>
  <c r="AF57" i="1" a="1"/>
  <c r="AF56" i="1" a="1"/>
  <c r="AF47" i="1" a="1"/>
  <c r="AF46" i="1" a="1"/>
  <c r="AF45" i="1" a="1"/>
  <c r="AF44" i="1" a="1"/>
  <c r="AF43" i="1" a="1"/>
  <c r="AF42" i="1" a="1"/>
  <c r="AF30" i="1" a="1"/>
  <c r="AF29" i="1" a="1"/>
  <c r="AF28" i="1" a="1"/>
  <c r="AF27" i="1" a="1"/>
  <c r="AF26" i="1" a="1"/>
  <c r="AF18" i="1" a="1"/>
  <c r="AF16" i="1" a="1"/>
  <c r="AF15" i="1" a="1"/>
  <c r="AF14" i="1" a="1"/>
  <c r="AF17" i="1" a="1"/>
  <c r="AD6" i="1" a="1"/>
  <c r="AD6" i="1" l="1"/>
  <c r="AF74" i="1"/>
  <c r="AF73" i="1"/>
  <c r="AF72" i="1"/>
  <c r="AF71" i="1"/>
  <c r="AF70" i="1"/>
  <c r="AF60" i="1"/>
  <c r="AF59" i="1"/>
  <c r="AF58" i="1"/>
  <c r="AF57" i="1"/>
  <c r="AF56" i="1"/>
  <c r="AF47" i="1"/>
  <c r="AF46" i="1"/>
  <c r="AF45" i="1"/>
  <c r="AF44" i="1"/>
  <c r="AF43" i="1"/>
  <c r="AF42" i="1"/>
  <c r="AF30" i="1"/>
  <c r="AF29" i="1"/>
  <c r="AF28" i="1"/>
  <c r="AF27" i="1"/>
  <c r="AF26" i="1"/>
  <c r="AF18" i="1"/>
  <c r="AF16" i="1"/>
  <c r="AF15" i="1"/>
  <c r="AF14" i="1"/>
  <c r="AF17" i="1"/>
  <c r="W44" i="1"/>
  <c r="W17" i="1"/>
  <c r="W18" i="1" s="1"/>
  <c r="W29" i="1"/>
  <c r="W27" i="1" s="1"/>
  <c r="V41" i="1"/>
  <c r="W28" i="1"/>
  <c r="V25" i="1"/>
  <c r="W16" i="1"/>
  <c r="W15" i="1"/>
  <c r="W30" i="1" l="1"/>
  <c r="W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<sst xmlns="http://schemas.openxmlformats.org/spreadsheetml/2006/main" count="332" uniqueCount="131">
  <si>
    <t>Instrument</t>
  </si>
  <si>
    <t>Volume</t>
  </si>
  <si>
    <t>Open</t>
  </si>
  <si>
    <t>ExtValue</t>
  </si>
  <si>
    <t>Rho</t>
  </si>
  <si>
    <t>Theta</t>
  </si>
  <si>
    <t>Vega</t>
  </si>
  <si>
    <t>Gamma</t>
  </si>
  <si>
    <t>NDelta</t>
  </si>
  <si>
    <t>Î”|Delta</t>
  </si>
  <si>
    <t>Last</t>
  </si>
  <si>
    <t>Size</t>
  </si>
  <si>
    <t>IV Bid</t>
  </si>
  <si>
    <t>Bid</t>
  </si>
  <si>
    <t>Mark</t>
  </si>
  <si>
    <t>New Mark</t>
  </si>
  <si>
    <t>Ask</t>
  </si>
  <si>
    <t>IV Ask</t>
  </si>
  <si>
    <t>BTC-26SEP25-20000-C</t>
  </si>
  <si>
    <t>-</t>
  </si>
  <si>
    <t>BTC-26SEP25-20000-P</t>
  </si>
  <si>
    <t>BTC-26SEP25-30000-C</t>
  </si>
  <si>
    <t>BTC-26SEP25-30000-P</t>
  </si>
  <si>
    <t>BTC-26SEP25-40000-C</t>
  </si>
  <si>
    <t>BTC-26SEP25-40000-P</t>
  </si>
  <si>
    <t>BTC-26SEP25-50000-C</t>
  </si>
  <si>
    <t>BTC-26SEP25-50000-P</t>
  </si>
  <si>
    <t>BTC-26SEP25-55000-C</t>
  </si>
  <si>
    <t>BTC-26SEP25-55000-P</t>
  </si>
  <si>
    <t>BTC-26SEP25-60000-C</t>
  </si>
  <si>
    <t>BTC-26SEP25-60000-P</t>
  </si>
  <si>
    <t>BTC-26SEP25-65000-C</t>
  </si>
  <si>
    <t>BTC-26SEP25-65000-P</t>
  </si>
  <si>
    <t>BTC-26SEP25-70000-C</t>
  </si>
  <si>
    <t>BTC-26SEP25-70000-P</t>
  </si>
  <si>
    <t>BTC-26SEP25-75000-C</t>
  </si>
  <si>
    <t>BTC-26SEP25-75000-P</t>
  </si>
  <si>
    <t>BTC-26SEP25-80000-C</t>
  </si>
  <si>
    <t>BTC-26SEP25-80000-P</t>
  </si>
  <si>
    <t>BTC-26SEP25-85000-C</t>
  </si>
  <si>
    <t>BTC-26SEP25-85000-P</t>
  </si>
  <si>
    <t>BTC-26SEP25-90000-C</t>
  </si>
  <si>
    <t>BTC-26SEP25-90000-P</t>
  </si>
  <si>
    <t>BTC-26SEP25-95000-C</t>
  </si>
  <si>
    <t>BTC-26SEP25-95000-P</t>
  </si>
  <si>
    <t>BTC-26SEP25-100000-C</t>
  </si>
  <si>
    <t>BTC-26SEP25-100000-P</t>
  </si>
  <si>
    <t>BTC-26SEP25-105000-C</t>
  </si>
  <si>
    <t>BTC-26SEP25-105000-P</t>
  </si>
  <si>
    <t>BTC-26SEP25-110000-C</t>
  </si>
  <si>
    <t>BTC-26SEP25-110000-P</t>
  </si>
  <si>
    <t>BTC-26SEP25-115000-C</t>
  </si>
  <si>
    <t>BTC-26SEP25-115000-P</t>
  </si>
  <si>
    <t>BTC-26SEP25-120000-C</t>
  </si>
  <si>
    <t>BTC-26SEP25-120000-P</t>
  </si>
  <si>
    <t>BTC-26SEP25-125000-C</t>
  </si>
  <si>
    <t>BTC-26SEP25-125000-P</t>
  </si>
  <si>
    <t>BTC-26SEP25-130000-C</t>
  </si>
  <si>
    <t>BTC-26SEP25-130000-P</t>
  </si>
  <si>
    <t>BTC-26SEP25-140000-C</t>
  </si>
  <si>
    <t>BTC-26SEP25-140000-P</t>
  </si>
  <si>
    <t>BTC-26SEP25-150000-C</t>
  </si>
  <si>
    <t>BTC-26SEP25-150000-P</t>
  </si>
  <si>
    <t>BTC-26SEP25-160000-C</t>
  </si>
  <si>
    <t>BTC-26SEP25-160000-P</t>
  </si>
  <si>
    <t>BTC-26SEP25-170000-C</t>
  </si>
  <si>
    <t>BTC-26SEP25-170000-P</t>
  </si>
  <si>
    <t>BTC-26SEP25-180000-C</t>
  </si>
  <si>
    <t>BTC-26SEP25-180000-P</t>
  </si>
  <si>
    <t>BTC-26SEP25-190000-C</t>
  </si>
  <si>
    <t>BTC-26SEP25-190000-P</t>
  </si>
  <si>
    <t>BTC-26SEP25-200000-C</t>
  </si>
  <si>
    <t>BTC-26SEP25-200000-P</t>
  </si>
  <si>
    <t>BTC-26SEP25-210000-C</t>
  </si>
  <si>
    <t>BTC-26SEP25-210000-P</t>
  </si>
  <si>
    <t>BTC-26SEP25-220000-C</t>
  </si>
  <si>
    <t>BTC-26SEP25-220000-P</t>
  </si>
  <si>
    <t>BTC-26SEP25-240000-C</t>
  </si>
  <si>
    <t>BTC-26SEP25-240000-P</t>
  </si>
  <si>
    <t>BTC-26SEP25-260000-C</t>
  </si>
  <si>
    <t>BTC-26SEP25-260000-P</t>
  </si>
  <si>
    <t>BTC-26SEP25-280000-C</t>
  </si>
  <si>
    <t>BTC-26SEP25-280000-P</t>
  </si>
  <si>
    <t>BTC-26SEP25-300000-C</t>
  </si>
  <si>
    <t>BTC-26SEP25-300000-P</t>
  </si>
  <si>
    <t>Size2</t>
  </si>
  <si>
    <t>C</t>
  </si>
  <si>
    <t>P</t>
  </si>
  <si>
    <t>S</t>
  </si>
  <si>
    <t>K</t>
  </si>
  <si>
    <t>T</t>
  </si>
  <si>
    <t>r</t>
  </si>
  <si>
    <t xml:space="preserve"> With the call-put parity</t>
  </si>
  <si>
    <t>Excel</t>
  </si>
  <si>
    <t>VBA</t>
  </si>
  <si>
    <t>Bitcoin Price</t>
  </si>
  <si>
    <t>Call Spread</t>
  </si>
  <si>
    <t>Strike Price (Buy)</t>
  </si>
  <si>
    <t>Strike Price (Sell)</t>
  </si>
  <si>
    <t>Premium (Buy)</t>
  </si>
  <si>
    <t>Premium (Sell)</t>
  </si>
  <si>
    <t>Current Price</t>
  </si>
  <si>
    <t>Max Profit</t>
  </si>
  <si>
    <t>Max Loss</t>
  </si>
  <si>
    <t>Breakeven Point</t>
  </si>
  <si>
    <t>Profit at Expiration</t>
  </si>
  <si>
    <t>Net  Premium Paid</t>
  </si>
  <si>
    <t>Put Spread</t>
  </si>
  <si>
    <t>Net Premium Paid</t>
  </si>
  <si>
    <t>Butterfly</t>
  </si>
  <si>
    <t>Lower strike (Long Put)</t>
  </si>
  <si>
    <t>Middle strike (Short Put)</t>
  </si>
  <si>
    <t>High strike (Long Put)</t>
  </si>
  <si>
    <t>High premium (Long Put)</t>
  </si>
  <si>
    <t>Middle premium (Short Put)</t>
  </si>
  <si>
    <t>Lower premium (Long Put)</t>
  </si>
  <si>
    <t>Profit</t>
  </si>
  <si>
    <t>Breakeven Point (Lower)</t>
  </si>
  <si>
    <t>Breakeven Point (Upper)</t>
  </si>
  <si>
    <t>Strip</t>
  </si>
  <si>
    <t>Strike price</t>
  </si>
  <si>
    <t>Premium (Put)</t>
  </si>
  <si>
    <t>Premium (Call)</t>
  </si>
  <si>
    <t>Net premium paid</t>
  </si>
  <si>
    <t>Upper breakeven point</t>
  </si>
  <si>
    <t>Lower breakeven point</t>
  </si>
  <si>
    <t>Max loss</t>
  </si>
  <si>
    <t>Profit at expiry</t>
  </si>
  <si>
    <t>Strap</t>
  </si>
  <si>
    <t>Call Premium</t>
  </si>
  <si>
    <t>Put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</si>
</sst>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theme="3" tint="0.49998474074526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164" fontId="0" fillId="0" borderId="0" xfId="0" applyNumberFormat="1"/>
    <xf numFmtId="165" fontId="0" fillId="0" borderId="0" xfId="0" applyNumberFormat="1"/>
    <xf numFmtId="0" fontId="0" fillId="37" borderId="0" xfId="0" applyFill="1"/>
    <xf numFmtId="0" fontId="0" fillId="38" borderId="0" xfId="0" applyFill="1"/>
    <xf numFmtId="0" fontId="0" fillId="0" borderId="10" xfId="0" applyBorder="1"/>
    <xf numFmtId="0" fontId="0" fillId="39" borderId="0" xfId="0" applyFill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DA186C-2003-4760-BB37-FFD064CFCB3B}" name="Table1" displayName="Table1" ref="A1:S67" totalsRowShown="0">
  <autoFilter ref="A1:S67" xr:uid="{37DA186C-2003-4760-BB37-FFD064CFCB3B}"/>
  <tableColumns count="19">
    <tableColumn id="1" xr3:uid="{35AD50B0-69A4-4A09-94F1-F975F76B5C54}" name="Instrument"/>
    <tableColumn id="2" xr3:uid="{3766105D-2C21-42B2-9502-87AB5B38C540}" name="Volume"/>
    <tableColumn id="3" xr3:uid="{ED39E3E1-06BD-4F32-BD34-9EB456BD2E96}" name="Open"/>
    <tableColumn id="4" xr3:uid="{B9B042D4-2D84-4110-AD84-17CCB8BFE5BB}" name="ExtValue"/>
    <tableColumn id="5" xr3:uid="{0BA31B5A-0F68-49CC-B646-A8302F7E6F51}" name="Rho"/>
    <tableColumn id="6" xr3:uid="{6C98D679-DB20-4C12-859D-AACDC6A30729}" name="Theta"/>
    <tableColumn id="7" xr3:uid="{2392A66C-38FD-4EC4-8627-E9E4C8E935AF}" name="Vega"/>
    <tableColumn id="8" xr3:uid="{5BFB81A6-9F5A-4619-B873-3BBA01A5F74A}" name="Gamma"/>
    <tableColumn id="9" xr3:uid="{78E13289-2E65-4973-8C93-04E413514A6F}" name="NDelta"/>
    <tableColumn id="10" xr3:uid="{39A484BA-1E2B-432C-989B-2833382184C9}" name="Î”|Delta"/>
    <tableColumn id="11" xr3:uid="{7103D4A9-18E2-4EDA-8433-24EBBE498D22}" name="Last"/>
    <tableColumn id="12" xr3:uid="{7826AA1C-EA89-47D6-8E31-E299DA223256}" name="Size"/>
    <tableColumn id="13" xr3:uid="{8B5A9AA5-F121-4BC7-9766-9279197384BD}" name="IV Bid"/>
    <tableColumn id="14" xr3:uid="{2F99DDA4-E1FF-42FD-91B6-3553C79B9969}" name="Bid"/>
    <tableColumn id="15" xr3:uid="{A42B43F6-E376-46F6-B659-D63479C9D55D}" name="Mark"/>
    <tableColumn id="16" xr3:uid="{35B5670F-0529-4776-AAC9-3B6E63738438}" name="New Mark"/>
    <tableColumn id="17" xr3:uid="{B2EBA47D-840A-4919-8DDE-1E9C89C758E5}" name="Ask"/>
    <tableColumn id="18" xr3:uid="{581298EC-5B7B-4E17-B98A-6618F36B89D5}" name="IV Ask"/>
    <tableColumn id="19" xr3:uid="{0CE3C92F-6B47-4E55-A580-905713B70FF3}" name="Size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F643-5706-4CCC-B9DF-2DF8685A1CC6}">
  <sheetPr codeName="Sheet1"/>
  <dimension ref="A1:AF74"/>
  <sheetViews>
    <sheetView tabSelected="1" topLeftCell="I58" workbookViewId="0">
      <selection activeCell="U33" sqref="U33"/>
    </sheetView>
  </sheetViews>
  <sheetFormatPr defaultRowHeight="14.4" x14ac:dyDescent="0.3"/>
  <cols>
    <col min="1" max="1" width="11.5546875" customWidth="1"/>
    <col min="2" max="2" width="9" customWidth="1"/>
    <col min="4" max="4" width="9.77734375" customWidth="1"/>
    <col min="8" max="8" width="9.33203125" customWidth="1"/>
    <col min="10" max="10" width="9.33203125" customWidth="1"/>
    <col min="16" max="16" width="10.88671875" customWidth="1"/>
    <col min="21" max="21" width="22.77734375" customWidth="1"/>
    <col min="23" max="23" width="15.88671875" customWidth="1"/>
    <col min="26" max="26" width="10.33203125" bestFit="1" customWidth="1"/>
    <col min="29" max="29" width="10.44140625" customWidth="1"/>
    <col min="30" max="30" width="14.88671875" customWidth="1"/>
    <col min="32" max="32" width="18.44140625" customWidth="1"/>
  </cols>
  <sheetData>
    <row r="1" spans="1:3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85</v>
      </c>
      <c r="T1" s="1" t="s">
        <v>95</v>
      </c>
      <c r="U1">
        <v>92926.97</v>
      </c>
    </row>
    <row r="2" spans="1:32" x14ac:dyDescent="0.3">
      <c r="A2" t="s">
        <v>18</v>
      </c>
      <c r="B2" t="s">
        <v>19</v>
      </c>
      <c r="C2">
        <v>27.7</v>
      </c>
      <c r="E2">
        <v>151.93595999999999</v>
      </c>
      <c r="F2">
        <v>-2.5016699999999998</v>
      </c>
      <c r="G2">
        <v>16.250150000000001</v>
      </c>
      <c r="H2" t="s">
        <v>19</v>
      </c>
      <c r="J2">
        <v>0.99400999999999995</v>
      </c>
      <c r="K2">
        <v>0.81850000000000001</v>
      </c>
      <c r="L2">
        <v>12</v>
      </c>
      <c r="M2">
        <v>66.84</v>
      </c>
      <c r="N2">
        <v>0.81399999999999995</v>
      </c>
      <c r="O2">
        <v>0.81579999999999997</v>
      </c>
      <c r="Q2">
        <v>0.8175</v>
      </c>
      <c r="R2">
        <v>98.25</v>
      </c>
      <c r="S2">
        <v>12</v>
      </c>
    </row>
    <row r="3" spans="1:32" x14ac:dyDescent="0.3">
      <c r="A3" t="s">
        <v>20</v>
      </c>
      <c r="B3">
        <v>1</v>
      </c>
      <c r="C3">
        <v>44.3</v>
      </c>
      <c r="E3">
        <v>-6.8100199999999997</v>
      </c>
      <c r="F3">
        <v>-2.5017200000000002</v>
      </c>
      <c r="G3">
        <v>16.25046</v>
      </c>
      <c r="H3" t="s">
        <v>19</v>
      </c>
      <c r="J3">
        <v>-5.9899999999999997E-3</v>
      </c>
      <c r="K3">
        <v>2.0999999999999999E-3</v>
      </c>
      <c r="L3">
        <v>11.1</v>
      </c>
      <c r="M3">
        <v>83.05</v>
      </c>
      <c r="N3">
        <v>1.1999999999999999E-3</v>
      </c>
      <c r="O3">
        <v>2E-3</v>
      </c>
      <c r="Q3">
        <v>2.8999999999999998E-3</v>
      </c>
      <c r="R3">
        <v>94.49</v>
      </c>
      <c r="S3">
        <v>0.2</v>
      </c>
    </row>
    <row r="4" spans="1:32" x14ac:dyDescent="0.3">
      <c r="A4" t="s">
        <v>21</v>
      </c>
      <c r="B4" t="s">
        <v>19</v>
      </c>
      <c r="C4">
        <v>51.2</v>
      </c>
      <c r="E4">
        <v>219.83199999999999</v>
      </c>
      <c r="F4">
        <v>-5.3346900000000002</v>
      </c>
      <c r="G4">
        <v>38.522390000000001</v>
      </c>
      <c r="H4" t="s">
        <v>19</v>
      </c>
      <c r="J4">
        <v>0.9839</v>
      </c>
      <c r="K4">
        <v>0.74050000000000005</v>
      </c>
      <c r="L4">
        <v>3.9</v>
      </c>
      <c r="M4">
        <v>71.64</v>
      </c>
      <c r="N4">
        <v>0.72350000000000003</v>
      </c>
      <c r="O4">
        <v>0.72609999999999997</v>
      </c>
      <c r="Q4">
        <v>0.72799999999999998</v>
      </c>
      <c r="R4">
        <v>85.14</v>
      </c>
      <c r="S4">
        <v>11</v>
      </c>
      <c r="U4" s="3" t="s">
        <v>93</v>
      </c>
      <c r="V4" t="s">
        <v>92</v>
      </c>
      <c r="AC4" s="4" t="s">
        <v>94</v>
      </c>
    </row>
    <row r="5" spans="1:32" ht="15" thickBot="1" x14ac:dyDescent="0.35">
      <c r="A5" t="s">
        <v>22</v>
      </c>
      <c r="B5">
        <v>1</v>
      </c>
      <c r="C5">
        <v>196.9</v>
      </c>
      <c r="E5">
        <v>-18.286729999999999</v>
      </c>
      <c r="F5">
        <v>-5.3346900000000002</v>
      </c>
      <c r="G5">
        <v>38.522390000000001</v>
      </c>
      <c r="H5" t="s">
        <v>19</v>
      </c>
      <c r="J5">
        <v>-1.61E-2</v>
      </c>
      <c r="K5">
        <v>5.4999999999999997E-3</v>
      </c>
      <c r="L5">
        <v>13.2</v>
      </c>
      <c r="M5">
        <v>76.83</v>
      </c>
      <c r="N5">
        <v>4.1999999999999997E-3</v>
      </c>
      <c r="O5">
        <v>5.3E-3</v>
      </c>
      <c r="Q5">
        <v>6.4999999999999997E-3</v>
      </c>
      <c r="R5">
        <v>83.29</v>
      </c>
      <c r="S5">
        <v>5.5</v>
      </c>
      <c r="V5" t="s">
        <v>86</v>
      </c>
      <c r="W5" t="s">
        <v>87</v>
      </c>
      <c r="X5" t="s">
        <v>88</v>
      </c>
      <c r="Y5" t="s">
        <v>89</v>
      </c>
      <c r="Z5" t="s">
        <v>90</v>
      </c>
      <c r="AA5" t="s">
        <v>91</v>
      </c>
      <c r="AD5" t="s">
        <v>91</v>
      </c>
    </row>
    <row r="6" spans="1:32" ht="15" thickBot="1" x14ac:dyDescent="0.35">
      <c r="A6" t="s">
        <v>23</v>
      </c>
      <c r="B6" t="s">
        <v>19</v>
      </c>
      <c r="C6">
        <v>4.7</v>
      </c>
      <c r="E6">
        <v>281.33071999999999</v>
      </c>
      <c r="F6">
        <v>-8.59802</v>
      </c>
      <c r="G6">
        <v>68.697959999999995</v>
      </c>
      <c r="H6" t="s">
        <v>19</v>
      </c>
      <c r="J6">
        <v>0.96799999999999997</v>
      </c>
      <c r="K6">
        <v>0.64700000000000002</v>
      </c>
      <c r="L6">
        <v>3.7</v>
      </c>
      <c r="M6">
        <v>68.23</v>
      </c>
      <c r="N6">
        <v>0.63549999999999995</v>
      </c>
      <c r="O6">
        <v>0.63800000000000001</v>
      </c>
      <c r="Q6">
        <v>0.64</v>
      </c>
      <c r="R6">
        <v>75.430000000000007</v>
      </c>
      <c r="S6">
        <v>2.2999999999999998</v>
      </c>
      <c r="V6">
        <f>O26</f>
        <v>0.26050000000000001</v>
      </c>
      <c r="W6">
        <f>O27</f>
        <v>0.1449</v>
      </c>
      <c r="X6">
        <f>U1</f>
        <v>92926.97</v>
      </c>
      <c r="Y6">
        <v>95000</v>
      </c>
      <c r="Z6">
        <f ca="1">YEARFRAC(TODAY(),DATE(2025,9,26),1)</f>
        <v>0.76438356164383559</v>
      </c>
      <c r="AA6" s="9">
        <f ca="1">(Y6/(X6-(V6-W6)))^(1/Z6)-1</f>
        <v>2.9286019654605644E-2</v>
      </c>
      <c r="AD6" s="9" cm="1">
        <f t="array" aca="1" ref="AD6" ca="1">riskfreerate(V6,W6,X6,Y6,Z6)</f>
        <v>2.9286019654605644E-2</v>
      </c>
    </row>
    <row r="7" spans="1:32" x14ac:dyDescent="0.3">
      <c r="A7" t="s">
        <v>24</v>
      </c>
      <c r="B7">
        <v>0.3</v>
      </c>
      <c r="C7">
        <v>158.30000000000001</v>
      </c>
      <c r="E7">
        <v>-36.160910000000001</v>
      </c>
      <c r="F7">
        <v>-8.59802</v>
      </c>
      <c r="G7">
        <v>68.697959999999995</v>
      </c>
      <c r="H7" t="s">
        <v>19</v>
      </c>
      <c r="J7">
        <v>-3.2000000000000001E-2</v>
      </c>
      <c r="K7">
        <v>1.15E-2</v>
      </c>
      <c r="L7">
        <v>13.6</v>
      </c>
      <c r="M7">
        <v>70.239999999999995</v>
      </c>
      <c r="N7">
        <v>8.9999999999999993E-3</v>
      </c>
      <c r="O7">
        <v>1.04E-2</v>
      </c>
      <c r="Q7">
        <v>1.15E-2</v>
      </c>
      <c r="R7">
        <v>74.19</v>
      </c>
      <c r="S7">
        <v>27</v>
      </c>
    </row>
    <row r="8" spans="1:32" x14ac:dyDescent="0.3">
      <c r="A8" t="s">
        <v>25</v>
      </c>
      <c r="B8">
        <v>3</v>
      </c>
      <c r="C8">
        <v>6.2</v>
      </c>
      <c r="E8">
        <v>332.21476999999999</v>
      </c>
      <c r="F8">
        <v>-12.68191</v>
      </c>
      <c r="G8">
        <v>109.6626</v>
      </c>
      <c r="H8" t="s">
        <v>19</v>
      </c>
      <c r="J8">
        <v>0.94289999999999996</v>
      </c>
      <c r="K8">
        <v>0.54849999999999999</v>
      </c>
      <c r="L8">
        <v>3.2</v>
      </c>
      <c r="M8">
        <v>64.19</v>
      </c>
      <c r="N8">
        <v>0.55049999999999999</v>
      </c>
      <c r="O8">
        <v>0.55330000000000001</v>
      </c>
      <c r="Q8">
        <v>0.55600000000000005</v>
      </c>
      <c r="R8">
        <v>69.59</v>
      </c>
      <c r="S8">
        <v>18.899999999999999</v>
      </c>
      <c r="T8" s="7" t="s">
        <v>96</v>
      </c>
      <c r="AC8" s="10" t="s">
        <v>96</v>
      </c>
    </row>
    <row r="9" spans="1:32" x14ac:dyDescent="0.3">
      <c r="A9" t="s">
        <v>26</v>
      </c>
      <c r="B9">
        <v>2.5</v>
      </c>
      <c r="C9">
        <v>206</v>
      </c>
      <c r="E9">
        <v>-64.649770000000004</v>
      </c>
      <c r="F9">
        <v>-12.68191</v>
      </c>
      <c r="G9">
        <v>109.6626</v>
      </c>
      <c r="H9" t="s">
        <v>19</v>
      </c>
      <c r="J9">
        <v>-5.7099999999999998E-2</v>
      </c>
      <c r="K9">
        <v>1.95E-2</v>
      </c>
      <c r="L9">
        <v>8.1</v>
      </c>
      <c r="M9">
        <v>65.8</v>
      </c>
      <c r="N9">
        <v>1.7500000000000002E-2</v>
      </c>
      <c r="O9">
        <v>1.8700000000000001E-2</v>
      </c>
      <c r="Q9">
        <v>0.02</v>
      </c>
      <c r="R9">
        <v>68.239999999999995</v>
      </c>
      <c r="S9">
        <v>30.3</v>
      </c>
      <c r="U9" s="8" t="s">
        <v>97</v>
      </c>
      <c r="V9">
        <f>90000</f>
        <v>90000</v>
      </c>
      <c r="AD9" s="8" t="s">
        <v>97</v>
      </c>
      <c r="AE9">
        <f>90000</f>
        <v>90000</v>
      </c>
    </row>
    <row r="10" spans="1:32" x14ac:dyDescent="0.3">
      <c r="A10" t="s">
        <v>27</v>
      </c>
      <c r="B10">
        <v>0.5</v>
      </c>
      <c r="C10">
        <v>9.8000000000000007</v>
      </c>
      <c r="E10">
        <v>351.84174000000002</v>
      </c>
      <c r="F10">
        <v>-15.14589</v>
      </c>
      <c r="G10">
        <v>134.69391999999999</v>
      </c>
      <c r="H10" t="s">
        <v>19</v>
      </c>
      <c r="J10">
        <v>0.92557</v>
      </c>
      <c r="K10">
        <v>0.51500000000000001</v>
      </c>
      <c r="L10">
        <v>2.7</v>
      </c>
      <c r="M10">
        <v>62.76</v>
      </c>
      <c r="N10">
        <v>0.51</v>
      </c>
      <c r="O10">
        <v>0.51290000000000002</v>
      </c>
      <c r="Q10">
        <v>0.51500000000000001</v>
      </c>
      <c r="R10">
        <v>66.78</v>
      </c>
      <c r="S10">
        <v>2.8</v>
      </c>
      <c r="U10" s="8" t="s">
        <v>98</v>
      </c>
      <c r="V10">
        <f>95000</f>
        <v>95000</v>
      </c>
      <c r="AD10" s="8" t="s">
        <v>98</v>
      </c>
      <c r="AE10">
        <f>95000</f>
        <v>95000</v>
      </c>
    </row>
    <row r="11" spans="1:32" x14ac:dyDescent="0.3">
      <c r="A11" t="s">
        <v>28</v>
      </c>
      <c r="B11">
        <v>0.1</v>
      </c>
      <c r="C11">
        <v>76.400000000000006</v>
      </c>
      <c r="E11">
        <v>-84.709249999999997</v>
      </c>
      <c r="F11">
        <v>-15.14589</v>
      </c>
      <c r="G11">
        <v>134.69391999999999</v>
      </c>
      <c r="H11" t="s">
        <v>19</v>
      </c>
      <c r="J11">
        <v>-7.4429999999999996E-2</v>
      </c>
      <c r="K11">
        <v>2.6499999999999999E-2</v>
      </c>
      <c r="L11">
        <v>0.1</v>
      </c>
      <c r="M11">
        <v>64.819999999999993</v>
      </c>
      <c r="N11">
        <v>2.4500000000000001E-2</v>
      </c>
      <c r="O11">
        <v>2.4899999999999999E-2</v>
      </c>
      <c r="Q11">
        <v>2.5999999999999999E-2</v>
      </c>
      <c r="R11">
        <v>66.010000000000005</v>
      </c>
      <c r="S11">
        <v>0.1</v>
      </c>
      <c r="U11" s="8" t="s">
        <v>99</v>
      </c>
      <c r="V11">
        <f>O24</f>
        <v>0.28399999999999997</v>
      </c>
      <c r="AD11" s="8" t="s">
        <v>99</v>
      </c>
      <c r="AE11">
        <f>V11</f>
        <v>0.28399999999999997</v>
      </c>
    </row>
    <row r="12" spans="1:32" x14ac:dyDescent="0.3">
      <c r="A12" t="s">
        <v>29</v>
      </c>
      <c r="B12" t="s">
        <v>19</v>
      </c>
      <c r="C12">
        <v>6.4</v>
      </c>
      <c r="E12">
        <v>368.52465000000001</v>
      </c>
      <c r="F12">
        <v>-17.55714</v>
      </c>
      <c r="G12">
        <v>160.79095000000001</v>
      </c>
      <c r="H12" t="s">
        <v>19</v>
      </c>
      <c r="J12">
        <v>0.90576999999999996</v>
      </c>
      <c r="K12">
        <v>0.50149999999999995</v>
      </c>
      <c r="L12">
        <v>2.5</v>
      </c>
      <c r="M12">
        <v>61.52</v>
      </c>
      <c r="N12">
        <v>0.47099999999999997</v>
      </c>
      <c r="O12">
        <v>0.47360000000000002</v>
      </c>
      <c r="Q12">
        <v>0.47699999999999998</v>
      </c>
      <c r="R12">
        <v>65.52</v>
      </c>
      <c r="S12">
        <v>10.7</v>
      </c>
      <c r="U12" s="8" t="s">
        <v>100</v>
      </c>
      <c r="V12">
        <f>O26</f>
        <v>0.26050000000000001</v>
      </c>
      <c r="AD12" s="8" t="s">
        <v>100</v>
      </c>
      <c r="AE12">
        <f>V12</f>
        <v>0.26050000000000001</v>
      </c>
    </row>
    <row r="13" spans="1:32" x14ac:dyDescent="0.3">
      <c r="A13" t="s">
        <v>30</v>
      </c>
      <c r="B13">
        <v>20</v>
      </c>
      <c r="C13">
        <v>327.2</v>
      </c>
      <c r="E13">
        <v>-107.71279</v>
      </c>
      <c r="F13">
        <v>-17.55714</v>
      </c>
      <c r="G13">
        <v>160.79095000000001</v>
      </c>
      <c r="H13" t="s">
        <v>19</v>
      </c>
      <c r="J13">
        <v>-9.4229999999999994E-2</v>
      </c>
      <c r="K13">
        <v>3.2000000000000001E-2</v>
      </c>
      <c r="L13">
        <v>5.8</v>
      </c>
      <c r="M13">
        <v>62.19</v>
      </c>
      <c r="N13">
        <v>3.0499999999999999E-2</v>
      </c>
      <c r="O13">
        <v>3.2099999999999997E-2</v>
      </c>
      <c r="Q13">
        <v>3.4000000000000002E-2</v>
      </c>
      <c r="R13">
        <v>64.53</v>
      </c>
      <c r="S13">
        <v>5.4</v>
      </c>
      <c r="U13" s="8" t="s">
        <v>101</v>
      </c>
      <c r="V13">
        <f>X6</f>
        <v>92926.97</v>
      </c>
      <c r="AD13" s="8" t="s">
        <v>101</v>
      </c>
      <c r="AE13">
        <f>V13</f>
        <v>92926.97</v>
      </c>
    </row>
    <row r="14" spans="1:32" x14ac:dyDescent="0.3">
      <c r="A14" t="s">
        <v>31</v>
      </c>
      <c r="B14" t="s">
        <v>19</v>
      </c>
      <c r="C14">
        <v>24.6</v>
      </c>
      <c r="E14">
        <v>380.07143000000002</v>
      </c>
      <c r="F14">
        <v>-20.234639999999999</v>
      </c>
      <c r="G14">
        <v>189.06478000000001</v>
      </c>
      <c r="H14" t="s">
        <v>19</v>
      </c>
      <c r="J14">
        <v>0.88212000000000002</v>
      </c>
      <c r="K14">
        <v>0.44350000000000001</v>
      </c>
      <c r="L14">
        <v>2.5</v>
      </c>
      <c r="M14">
        <v>60.36</v>
      </c>
      <c r="N14">
        <v>0.4335</v>
      </c>
      <c r="O14">
        <v>0.43630000000000002</v>
      </c>
      <c r="Q14">
        <v>0.44</v>
      </c>
      <c r="R14">
        <v>64.05</v>
      </c>
      <c r="S14">
        <v>2.2999999999999998</v>
      </c>
      <c r="U14" s="2" t="s">
        <v>102</v>
      </c>
      <c r="W14">
        <f>(V10-V9)-(V11-V12)</f>
        <v>4999.9764999999998</v>
      </c>
      <c r="AD14" s="2" t="s">
        <v>102</v>
      </c>
      <c r="AF14" cm="1">
        <f t="array" ref="AF14">cs_maxprofit(AE9,AE10,AE11,AE12)</f>
        <v>4999.9764999999998</v>
      </c>
    </row>
    <row r="15" spans="1:32" x14ac:dyDescent="0.3">
      <c r="A15" t="s">
        <v>32</v>
      </c>
      <c r="B15">
        <v>0.1</v>
      </c>
      <c r="C15">
        <v>163.80000000000001</v>
      </c>
      <c r="E15">
        <v>-135.85247000000001</v>
      </c>
      <c r="F15">
        <v>-20.234639999999999</v>
      </c>
      <c r="G15">
        <v>189.06478000000001</v>
      </c>
      <c r="H15" t="s">
        <v>19</v>
      </c>
      <c r="J15">
        <v>-0.11788</v>
      </c>
      <c r="K15">
        <v>4.1500000000000002E-2</v>
      </c>
      <c r="L15">
        <v>3.9</v>
      </c>
      <c r="M15">
        <v>61.19</v>
      </c>
      <c r="N15">
        <v>0.04</v>
      </c>
      <c r="O15">
        <v>4.1399999999999999E-2</v>
      </c>
      <c r="Q15">
        <v>4.3499999999999997E-2</v>
      </c>
      <c r="R15">
        <v>62.89</v>
      </c>
      <c r="S15">
        <v>4.3</v>
      </c>
      <c r="U15" s="2" t="s">
        <v>103</v>
      </c>
      <c r="W15">
        <f>V11-V12</f>
        <v>2.3499999999999965E-2</v>
      </c>
      <c r="AD15" s="2" t="s">
        <v>103</v>
      </c>
      <c r="AF15" cm="1">
        <f t="array" ref="AF15">CS_maxloss(AE11,AE12)</f>
        <v>2.3499999999999965E-2</v>
      </c>
    </row>
    <row r="16" spans="1:32" x14ac:dyDescent="0.3">
      <c r="A16" t="s">
        <v>33</v>
      </c>
      <c r="B16">
        <v>9</v>
      </c>
      <c r="C16">
        <v>131.80000000000001</v>
      </c>
      <c r="E16">
        <v>387.06400000000002</v>
      </c>
      <c r="F16">
        <v>-22.97711</v>
      </c>
      <c r="G16">
        <v>217.92178000000001</v>
      </c>
      <c r="H16" t="s">
        <v>19</v>
      </c>
      <c r="J16">
        <v>0.85521000000000003</v>
      </c>
      <c r="K16">
        <v>0.40400000000000003</v>
      </c>
      <c r="L16">
        <v>10.9</v>
      </c>
      <c r="M16">
        <v>59.72</v>
      </c>
      <c r="N16">
        <v>0.39850000000000002</v>
      </c>
      <c r="O16">
        <v>0.4012</v>
      </c>
      <c r="Q16">
        <v>0.40500000000000003</v>
      </c>
      <c r="R16">
        <v>62.92</v>
      </c>
      <c r="S16">
        <v>2</v>
      </c>
      <c r="U16" s="2" t="s">
        <v>104</v>
      </c>
      <c r="W16">
        <f>V9+(V11-V12)</f>
        <v>90000.023499999996</v>
      </c>
      <c r="AD16" s="2" t="s">
        <v>104</v>
      </c>
      <c r="AF16" cm="1">
        <f t="array" ref="AF16">CS_breakeven(AE13,AE11,AE12)</f>
        <v>92926.993499999997</v>
      </c>
    </row>
    <row r="17" spans="1:32" x14ac:dyDescent="0.3">
      <c r="A17" t="s">
        <v>34</v>
      </c>
      <c r="B17">
        <v>0.1</v>
      </c>
      <c r="C17">
        <v>283.60000000000002</v>
      </c>
      <c r="E17">
        <v>-168.54634999999999</v>
      </c>
      <c r="F17">
        <v>-22.97711</v>
      </c>
      <c r="G17">
        <v>217.92178000000001</v>
      </c>
      <c r="H17" t="s">
        <v>19</v>
      </c>
      <c r="J17">
        <v>-0.14479</v>
      </c>
      <c r="K17">
        <v>5.6500000000000002E-2</v>
      </c>
      <c r="L17">
        <v>4.5</v>
      </c>
      <c r="M17">
        <v>60.16</v>
      </c>
      <c r="N17">
        <v>5.0999999999999997E-2</v>
      </c>
      <c r="O17">
        <v>5.2900000000000003E-2</v>
      </c>
      <c r="Q17">
        <v>5.45E-2</v>
      </c>
      <c r="R17">
        <v>61.89</v>
      </c>
      <c r="S17">
        <v>2</v>
      </c>
      <c r="U17" s="2" t="s">
        <v>106</v>
      </c>
      <c r="W17">
        <f>V11-V12</f>
        <v>2.3499999999999965E-2</v>
      </c>
      <c r="AD17" s="2" t="s">
        <v>106</v>
      </c>
      <c r="AF17" cm="1">
        <f t="array" ref="AF17">CS_netpremiumpaid(AE11,AE12)</f>
        <v>2.3499999999999965E-2</v>
      </c>
    </row>
    <row r="18" spans="1:32" x14ac:dyDescent="0.3">
      <c r="A18" t="s">
        <v>35</v>
      </c>
      <c r="B18" t="s">
        <v>19</v>
      </c>
      <c r="C18">
        <v>140.5</v>
      </c>
      <c r="E18">
        <v>389.78931999999998</v>
      </c>
      <c r="F18">
        <v>-25.680299999999999</v>
      </c>
      <c r="G18">
        <v>246.24373</v>
      </c>
      <c r="H18" t="s">
        <v>19</v>
      </c>
      <c r="J18">
        <v>0.82552000000000003</v>
      </c>
      <c r="K18">
        <v>0.38350000000000001</v>
      </c>
      <c r="L18">
        <v>1</v>
      </c>
      <c r="M18">
        <v>59.82</v>
      </c>
      <c r="N18">
        <v>0.36699999999999999</v>
      </c>
      <c r="O18">
        <v>0.36840000000000001</v>
      </c>
      <c r="Q18">
        <v>0.3725</v>
      </c>
      <c r="R18">
        <v>62.21</v>
      </c>
      <c r="S18">
        <v>2.2999999999999998</v>
      </c>
      <c r="U18" s="2" t="s">
        <v>105</v>
      </c>
      <c r="W18">
        <f>IF(V9&gt;V13,-W17,IF(V13&gt;V10,V10-V9-W17,(V13-V9)-W17))</f>
        <v>2926.9465000000014</v>
      </c>
      <c r="AD18" s="2" t="s">
        <v>105</v>
      </c>
      <c r="AF18" cm="1">
        <f t="array" ref="AF18">cs_profit(AE13,AE9,AE10,AE11,AE12)</f>
        <v>2926.9465000000014</v>
      </c>
    </row>
    <row r="19" spans="1:32" x14ac:dyDescent="0.3">
      <c r="A19" t="s">
        <v>36</v>
      </c>
      <c r="B19">
        <v>11</v>
      </c>
      <c r="C19">
        <v>101.9</v>
      </c>
      <c r="E19">
        <v>-205.50769</v>
      </c>
      <c r="F19">
        <v>-25.680340000000001</v>
      </c>
      <c r="G19">
        <v>246.24382</v>
      </c>
      <c r="H19" t="s">
        <v>19</v>
      </c>
      <c r="J19">
        <v>-0.17448</v>
      </c>
      <c r="K19">
        <v>6.8000000000000005E-2</v>
      </c>
      <c r="L19">
        <v>1.7</v>
      </c>
      <c r="M19">
        <v>59.76</v>
      </c>
      <c r="N19">
        <v>6.5000000000000002E-2</v>
      </c>
      <c r="O19">
        <v>6.6600000000000006E-2</v>
      </c>
      <c r="Q19">
        <v>6.8500000000000005E-2</v>
      </c>
      <c r="R19">
        <v>61.06</v>
      </c>
      <c r="S19">
        <v>2</v>
      </c>
    </row>
    <row r="20" spans="1:32" x14ac:dyDescent="0.3">
      <c r="A20" t="s">
        <v>37</v>
      </c>
      <c r="B20">
        <v>11</v>
      </c>
      <c r="C20">
        <v>95.2</v>
      </c>
      <c r="E20">
        <v>388.45834000000002</v>
      </c>
      <c r="F20">
        <v>-28.289739999999998</v>
      </c>
      <c r="G20">
        <v>273.1069</v>
      </c>
      <c r="H20" t="s">
        <v>19</v>
      </c>
      <c r="J20">
        <v>0.79349999999999998</v>
      </c>
      <c r="K20">
        <v>0.33400000000000002</v>
      </c>
      <c r="L20">
        <v>1</v>
      </c>
      <c r="M20">
        <v>59.46</v>
      </c>
      <c r="N20">
        <v>0.33650000000000002</v>
      </c>
      <c r="O20">
        <v>0.33789999999999998</v>
      </c>
      <c r="Q20">
        <v>0.34200000000000003</v>
      </c>
      <c r="R20">
        <v>61.62</v>
      </c>
      <c r="S20">
        <v>2</v>
      </c>
      <c r="T20" s="7" t="s">
        <v>107</v>
      </c>
      <c r="AC20" s="10" t="s">
        <v>107</v>
      </c>
    </row>
    <row r="21" spans="1:32" x14ac:dyDescent="0.3">
      <c r="A21" t="s">
        <v>38</v>
      </c>
      <c r="B21" t="s">
        <v>19</v>
      </c>
      <c r="C21">
        <v>101.6</v>
      </c>
      <c r="E21">
        <v>-246.52491000000001</v>
      </c>
      <c r="F21">
        <v>-28.289739999999998</v>
      </c>
      <c r="G21">
        <v>273.1069</v>
      </c>
      <c r="H21" t="s">
        <v>19</v>
      </c>
      <c r="J21">
        <v>-0.20649999999999999</v>
      </c>
      <c r="K21">
        <v>0.105</v>
      </c>
      <c r="L21">
        <v>7.7</v>
      </c>
      <c r="M21">
        <v>59.38</v>
      </c>
      <c r="N21">
        <v>8.1000000000000003E-2</v>
      </c>
      <c r="O21">
        <v>8.2600000000000007E-2</v>
      </c>
      <c r="Q21">
        <v>8.4500000000000006E-2</v>
      </c>
      <c r="R21">
        <v>60.56</v>
      </c>
      <c r="S21">
        <v>2</v>
      </c>
      <c r="U21" s="8" t="s">
        <v>97</v>
      </c>
      <c r="V21">
        <v>95000</v>
      </c>
      <c r="AD21" s="8" t="s">
        <v>97</v>
      </c>
      <c r="AE21">
        <v>95000</v>
      </c>
    </row>
    <row r="22" spans="1:32" x14ac:dyDescent="0.3">
      <c r="A22" t="s">
        <v>39</v>
      </c>
      <c r="B22" t="s">
        <v>19</v>
      </c>
      <c r="C22">
        <v>10.4</v>
      </c>
      <c r="E22">
        <v>383.75337000000002</v>
      </c>
      <c r="F22">
        <v>-30.705939999999998</v>
      </c>
      <c r="G22">
        <v>297.60602999999998</v>
      </c>
      <c r="H22">
        <v>1.0000000000000001E-5</v>
      </c>
      <c r="J22">
        <v>0.75988999999999995</v>
      </c>
      <c r="K22">
        <v>0.3115</v>
      </c>
      <c r="L22">
        <v>5.9</v>
      </c>
      <c r="M22">
        <v>58.94</v>
      </c>
      <c r="N22">
        <v>0.3075</v>
      </c>
      <c r="O22">
        <v>0.30980000000000002</v>
      </c>
      <c r="Q22">
        <v>0.314</v>
      </c>
      <c r="R22">
        <v>61.29</v>
      </c>
      <c r="S22">
        <v>1.7</v>
      </c>
      <c r="U22" s="8" t="s">
        <v>98</v>
      </c>
      <c r="V22">
        <v>90000</v>
      </c>
      <c r="AD22" s="8" t="s">
        <v>98</v>
      </c>
      <c r="AE22">
        <v>90000</v>
      </c>
    </row>
    <row r="23" spans="1:32" x14ac:dyDescent="0.3">
      <c r="A23" t="s">
        <v>40</v>
      </c>
      <c r="B23">
        <v>0.3</v>
      </c>
      <c r="C23">
        <v>35.1</v>
      </c>
      <c r="E23">
        <v>-290.91633999999999</v>
      </c>
      <c r="F23">
        <v>-30.705939999999998</v>
      </c>
      <c r="G23">
        <v>297.60602999999998</v>
      </c>
      <c r="H23">
        <v>1.0000000000000001E-5</v>
      </c>
      <c r="J23">
        <v>-0.24010999999999999</v>
      </c>
      <c r="K23">
        <v>0.104</v>
      </c>
      <c r="L23">
        <v>15.6</v>
      </c>
      <c r="M23">
        <v>59.04</v>
      </c>
      <c r="N23">
        <v>9.9000000000000005E-2</v>
      </c>
      <c r="O23">
        <v>0.1011</v>
      </c>
      <c r="Q23">
        <v>0.10299999999999999</v>
      </c>
      <c r="R23">
        <v>60.3</v>
      </c>
      <c r="S23">
        <v>2</v>
      </c>
      <c r="U23" s="8" t="s">
        <v>99</v>
      </c>
      <c r="V23">
        <f>O27</f>
        <v>0.1449</v>
      </c>
      <c r="AD23" s="8" t="s">
        <v>99</v>
      </c>
      <c r="AE23">
        <f>V23</f>
        <v>0.1449</v>
      </c>
    </row>
    <row r="24" spans="1:32" x14ac:dyDescent="0.3">
      <c r="A24" t="s">
        <v>41</v>
      </c>
      <c r="B24" t="s">
        <v>19</v>
      </c>
      <c r="C24">
        <v>68.8</v>
      </c>
      <c r="E24">
        <v>376.28021999999999</v>
      </c>
      <c r="F24">
        <v>-32.871200000000002</v>
      </c>
      <c r="G24">
        <v>319.16235999999998</v>
      </c>
      <c r="H24">
        <v>1.0000000000000001E-5</v>
      </c>
      <c r="J24">
        <v>0.72533000000000003</v>
      </c>
      <c r="K24">
        <v>0.28999999999999998</v>
      </c>
      <c r="L24">
        <v>1.5</v>
      </c>
      <c r="M24">
        <v>58.82</v>
      </c>
      <c r="N24">
        <v>0.28199999999999997</v>
      </c>
      <c r="O24">
        <v>0.28399999999999997</v>
      </c>
      <c r="Q24">
        <v>0.28799999999999998</v>
      </c>
      <c r="R24">
        <v>61.01</v>
      </c>
      <c r="S24">
        <v>3.1</v>
      </c>
      <c r="U24" s="8" t="s">
        <v>100</v>
      </c>
      <c r="V24">
        <f>O25</f>
        <v>0.12180000000000001</v>
      </c>
      <c r="AD24" s="8" t="s">
        <v>100</v>
      </c>
      <c r="AE24">
        <f>V24</f>
        <v>0.12180000000000001</v>
      </c>
    </row>
    <row r="25" spans="1:32" x14ac:dyDescent="0.3">
      <c r="A25" t="s">
        <v>42</v>
      </c>
      <c r="B25">
        <v>0.2</v>
      </c>
      <c r="C25">
        <v>53.6</v>
      </c>
      <c r="E25">
        <v>-338.07616999999999</v>
      </c>
      <c r="F25">
        <v>-32.871250000000003</v>
      </c>
      <c r="G25">
        <v>319.16237000000001</v>
      </c>
      <c r="H25">
        <v>1.0000000000000001E-5</v>
      </c>
      <c r="J25">
        <v>-0.27467000000000003</v>
      </c>
      <c r="K25">
        <v>0.122</v>
      </c>
      <c r="L25">
        <v>1.5</v>
      </c>
      <c r="M25">
        <v>59.06</v>
      </c>
      <c r="N25">
        <v>0.12</v>
      </c>
      <c r="O25">
        <v>0.12180000000000001</v>
      </c>
      <c r="Q25">
        <v>0.124</v>
      </c>
      <c r="R25">
        <v>60.24</v>
      </c>
      <c r="S25">
        <v>2</v>
      </c>
      <c r="U25" s="8" t="s">
        <v>101</v>
      </c>
      <c r="V25">
        <f>X6</f>
        <v>92926.97</v>
      </c>
      <c r="AD25" s="8" t="s">
        <v>101</v>
      </c>
      <c r="AE25">
        <f>V25</f>
        <v>92926.97</v>
      </c>
    </row>
    <row r="26" spans="1:32" x14ac:dyDescent="0.3">
      <c r="A26" t="s">
        <v>43</v>
      </c>
      <c r="B26">
        <v>0.1</v>
      </c>
      <c r="C26">
        <v>43</v>
      </c>
      <c r="E26">
        <v>366.57387</v>
      </c>
      <c r="F26">
        <v>-34.762979999999999</v>
      </c>
      <c r="G26">
        <v>337.44873000000001</v>
      </c>
      <c r="H26">
        <v>1.0000000000000001E-5</v>
      </c>
      <c r="J26">
        <v>0.69042000000000003</v>
      </c>
      <c r="K26">
        <v>0.26100000000000001</v>
      </c>
      <c r="L26">
        <v>1.4</v>
      </c>
      <c r="M26">
        <v>59.05</v>
      </c>
      <c r="N26">
        <v>0.25850000000000001</v>
      </c>
      <c r="O26">
        <v>0.26050000000000001</v>
      </c>
      <c r="Q26">
        <v>0.26450000000000001</v>
      </c>
      <c r="R26">
        <v>60.96</v>
      </c>
      <c r="S26">
        <v>3</v>
      </c>
      <c r="U26" s="2" t="s">
        <v>102</v>
      </c>
      <c r="W26">
        <f>(V21-V22)-W29</f>
        <v>4999.9768999999997</v>
      </c>
      <c r="AD26" s="2" t="s">
        <v>102</v>
      </c>
      <c r="AF26" cm="1">
        <f t="array" ref="AF26">PS_maxprofit(AE21,AE22,AE23,AE24)</f>
        <v>4999.9768999999997</v>
      </c>
    </row>
    <row r="27" spans="1:32" x14ac:dyDescent="0.3">
      <c r="A27" t="s">
        <v>44</v>
      </c>
      <c r="B27" t="s">
        <v>19</v>
      </c>
      <c r="C27">
        <v>29.7</v>
      </c>
      <c r="E27">
        <v>-387.46886999999998</v>
      </c>
      <c r="F27">
        <v>-34.763010000000001</v>
      </c>
      <c r="G27">
        <v>337.44871999999998</v>
      </c>
      <c r="H27">
        <v>1.0000000000000001E-5</v>
      </c>
      <c r="J27">
        <v>-0.30958000000000002</v>
      </c>
      <c r="K27">
        <v>0.13500000000000001</v>
      </c>
      <c r="L27">
        <v>7.7</v>
      </c>
      <c r="M27">
        <v>58.95</v>
      </c>
      <c r="N27">
        <v>0.14249999999999999</v>
      </c>
      <c r="O27">
        <v>0.1449</v>
      </c>
      <c r="Q27">
        <v>0.14699999999999999</v>
      </c>
      <c r="R27">
        <v>60.38</v>
      </c>
      <c r="S27">
        <v>2</v>
      </c>
      <c r="U27" s="2" t="s">
        <v>103</v>
      </c>
      <c r="W27">
        <f>W29</f>
        <v>2.3099999999999996E-2</v>
      </c>
      <c r="AD27" s="2" t="s">
        <v>103</v>
      </c>
      <c r="AF27" cm="1">
        <f t="array" ref="AF27">PS_maxloss(AE23,AE24)</f>
        <v>2.3099999999999996E-2</v>
      </c>
    </row>
    <row r="28" spans="1:32" x14ac:dyDescent="0.3">
      <c r="A28" t="s">
        <v>45</v>
      </c>
      <c r="B28">
        <v>0.4</v>
      </c>
      <c r="C28">
        <v>433.6</v>
      </c>
      <c r="E28">
        <v>354.79667000000001</v>
      </c>
      <c r="F28">
        <v>-36.477530000000002</v>
      </c>
      <c r="G28">
        <v>352.28237000000001</v>
      </c>
      <c r="H28">
        <v>1.0000000000000001E-5</v>
      </c>
      <c r="J28">
        <v>0.65588999999999997</v>
      </c>
      <c r="K28">
        <v>0.23</v>
      </c>
      <c r="L28">
        <v>1.6</v>
      </c>
      <c r="M28">
        <v>59.15</v>
      </c>
      <c r="N28">
        <v>0.23699999999999999</v>
      </c>
      <c r="O28">
        <v>0.23980000000000001</v>
      </c>
      <c r="Q28">
        <v>0.24299999999999999</v>
      </c>
      <c r="R28">
        <v>60.98</v>
      </c>
      <c r="S28">
        <v>2.7</v>
      </c>
      <c r="U28" s="2" t="s">
        <v>104</v>
      </c>
      <c r="W28">
        <f>V21-W29</f>
        <v>94999.976899999994</v>
      </c>
      <c r="AD28" s="2" t="s">
        <v>104</v>
      </c>
      <c r="AF28" cm="1">
        <f t="array" ref="AF28">PS_breakeven(AE21,AE23,AE24)</f>
        <v>94999.976899999994</v>
      </c>
    </row>
    <row r="29" spans="1:32" x14ac:dyDescent="0.3">
      <c r="A29" t="s">
        <v>46</v>
      </c>
      <c r="B29">
        <v>2.2000000000000002</v>
      </c>
      <c r="C29">
        <v>44.4</v>
      </c>
      <c r="E29">
        <v>-438.93198000000001</v>
      </c>
      <c r="F29">
        <v>-36.477409999999999</v>
      </c>
      <c r="G29">
        <v>352.28244000000001</v>
      </c>
      <c r="H29">
        <v>1.0000000000000001E-5</v>
      </c>
      <c r="J29">
        <v>-0.34411000000000003</v>
      </c>
      <c r="K29">
        <v>0.17349999999999999</v>
      </c>
      <c r="L29">
        <v>7.6</v>
      </c>
      <c r="M29">
        <v>59.03</v>
      </c>
      <c r="N29">
        <v>0.16750000000000001</v>
      </c>
      <c r="O29">
        <v>0.1706</v>
      </c>
      <c r="Q29">
        <v>0.17299999999999999</v>
      </c>
      <c r="R29">
        <v>60.71</v>
      </c>
      <c r="S29">
        <v>1.4</v>
      </c>
      <c r="U29" s="2" t="s">
        <v>108</v>
      </c>
      <c r="W29">
        <f>V23-V24</f>
        <v>2.3099999999999996E-2</v>
      </c>
      <c r="AD29" s="2" t="s">
        <v>108</v>
      </c>
      <c r="AF29" cm="1">
        <f t="array" ref="AF29">PS_netpremiumpaid(AE23,AE24)</f>
        <v>2.3099999999999996E-2</v>
      </c>
    </row>
    <row r="30" spans="1:32" x14ac:dyDescent="0.3">
      <c r="A30" t="s">
        <v>47</v>
      </c>
      <c r="B30">
        <v>0.3</v>
      </c>
      <c r="C30">
        <v>6.9</v>
      </c>
      <c r="E30">
        <v>342.80126000000001</v>
      </c>
      <c r="F30">
        <v>-37.638680000000001</v>
      </c>
      <c r="G30">
        <v>363.93639999999999</v>
      </c>
      <c r="H30">
        <v>1.0000000000000001E-5</v>
      </c>
      <c r="J30">
        <v>0.62161999999999995</v>
      </c>
      <c r="K30">
        <v>0.2185</v>
      </c>
      <c r="L30">
        <v>1.5</v>
      </c>
      <c r="M30">
        <v>59.31</v>
      </c>
      <c r="N30">
        <v>0.2175</v>
      </c>
      <c r="O30">
        <v>0.21959999999999999</v>
      </c>
      <c r="Q30">
        <v>0.222</v>
      </c>
      <c r="R30">
        <v>60.64</v>
      </c>
      <c r="S30">
        <v>2</v>
      </c>
      <c r="U30" s="2" t="s">
        <v>105</v>
      </c>
      <c r="W30">
        <f>IF(V25&gt;V21,-W29,IF(V25&gt;=V22,V21-V25-W29,V21-V22-W29))</f>
        <v>2073.006899999999</v>
      </c>
      <c r="AD30" s="2" t="s">
        <v>105</v>
      </c>
      <c r="AF30" cm="1">
        <f t="array" ref="AF30">PS_profit(AE25,AE21,AE22,AE23,AE24)</f>
        <v>2073.006899999999</v>
      </c>
    </row>
    <row r="31" spans="1:32" x14ac:dyDescent="0.3">
      <c r="A31" t="s">
        <v>48</v>
      </c>
      <c r="B31" t="s">
        <v>19</v>
      </c>
      <c r="C31">
        <v>13</v>
      </c>
      <c r="E31">
        <v>-490.61426</v>
      </c>
      <c r="F31">
        <v>-37.638680000000001</v>
      </c>
      <c r="G31">
        <v>363.93639999999999</v>
      </c>
      <c r="H31">
        <v>1.0000000000000001E-5</v>
      </c>
      <c r="J31">
        <v>-0.37837999999999999</v>
      </c>
      <c r="K31">
        <v>0.185</v>
      </c>
      <c r="L31">
        <v>12.4</v>
      </c>
      <c r="M31">
        <v>58.89</v>
      </c>
      <c r="N31">
        <v>0.19350000000000001</v>
      </c>
      <c r="O31">
        <v>0.19700000000000001</v>
      </c>
      <c r="Q31">
        <v>0.20200000000000001</v>
      </c>
      <c r="R31">
        <v>61.4</v>
      </c>
      <c r="S31">
        <v>1.8</v>
      </c>
    </row>
    <row r="32" spans="1:32" x14ac:dyDescent="0.3">
      <c r="A32" t="s">
        <v>49</v>
      </c>
      <c r="B32">
        <v>0.3</v>
      </c>
      <c r="C32">
        <v>129.80000000000001</v>
      </c>
      <c r="E32">
        <v>329.57884000000001</v>
      </c>
      <c r="F32">
        <v>-38.653779999999998</v>
      </c>
      <c r="G32">
        <v>372.38029</v>
      </c>
      <c r="H32">
        <v>1.0000000000000001E-5</v>
      </c>
      <c r="J32">
        <v>0.58852000000000004</v>
      </c>
      <c r="K32">
        <v>0.19700000000000001</v>
      </c>
      <c r="L32">
        <v>1.6</v>
      </c>
      <c r="M32">
        <v>59.43</v>
      </c>
      <c r="N32">
        <v>0.19950000000000001</v>
      </c>
      <c r="O32">
        <v>0.20200000000000001</v>
      </c>
      <c r="Q32">
        <v>0.20449999999999999</v>
      </c>
      <c r="R32">
        <v>60.87</v>
      </c>
      <c r="S32">
        <v>2</v>
      </c>
    </row>
    <row r="33" spans="1:32" x14ac:dyDescent="0.3">
      <c r="A33" t="s">
        <v>50</v>
      </c>
      <c r="B33" t="s">
        <v>19</v>
      </c>
      <c r="C33">
        <v>14.1</v>
      </c>
      <c r="E33">
        <v>-543.52313000000004</v>
      </c>
      <c r="F33">
        <v>-38.653779999999998</v>
      </c>
      <c r="G33">
        <v>372.38029</v>
      </c>
      <c r="H33">
        <v>1.0000000000000001E-5</v>
      </c>
      <c r="J33">
        <v>-0.41148000000000001</v>
      </c>
      <c r="K33">
        <v>0.20749999999999999</v>
      </c>
      <c r="L33">
        <v>0.9</v>
      </c>
      <c r="M33">
        <v>58.72</v>
      </c>
      <c r="N33">
        <v>0.221</v>
      </c>
      <c r="O33">
        <v>0.22600000000000001</v>
      </c>
      <c r="Q33">
        <v>0.23100000000000001</v>
      </c>
      <c r="R33">
        <v>61.6</v>
      </c>
      <c r="S33">
        <v>1.7</v>
      </c>
    </row>
    <row r="34" spans="1:32" x14ac:dyDescent="0.3">
      <c r="A34" t="s">
        <v>51</v>
      </c>
      <c r="B34">
        <v>6.2</v>
      </c>
      <c r="C34">
        <v>9.6</v>
      </c>
      <c r="E34">
        <v>316.11421999999999</v>
      </c>
      <c r="F34">
        <v>-39.300719999999998</v>
      </c>
      <c r="G34">
        <v>378.02028999999999</v>
      </c>
      <c r="H34">
        <v>1.0000000000000001E-5</v>
      </c>
      <c r="J34">
        <v>0.55622000000000005</v>
      </c>
      <c r="K34">
        <v>0.184</v>
      </c>
      <c r="L34">
        <v>1.6</v>
      </c>
      <c r="M34">
        <v>59.67</v>
      </c>
      <c r="N34">
        <v>0.1835</v>
      </c>
      <c r="O34">
        <v>0.1855</v>
      </c>
      <c r="Q34">
        <v>0.188</v>
      </c>
      <c r="R34">
        <v>60.95</v>
      </c>
      <c r="S34">
        <v>0.8</v>
      </c>
      <c r="T34" s="7" t="s">
        <v>109</v>
      </c>
      <c r="AC34" s="10" t="s">
        <v>109</v>
      </c>
    </row>
    <row r="35" spans="1:32" x14ac:dyDescent="0.3">
      <c r="A35" t="s">
        <v>52</v>
      </c>
      <c r="B35" t="s">
        <v>19</v>
      </c>
      <c r="C35">
        <v>3.9</v>
      </c>
      <c r="E35">
        <v>-596.67421000000002</v>
      </c>
      <c r="F35">
        <v>-39.300719999999998</v>
      </c>
      <c r="G35">
        <v>378.02028999999999</v>
      </c>
      <c r="H35">
        <v>1.0000000000000001E-5</v>
      </c>
      <c r="J35">
        <v>-0.44378000000000001</v>
      </c>
      <c r="K35">
        <v>0.2465</v>
      </c>
      <c r="L35">
        <v>5.9</v>
      </c>
      <c r="M35">
        <v>59.11</v>
      </c>
      <c r="N35">
        <v>0.252</v>
      </c>
      <c r="O35">
        <v>0.25600000000000001</v>
      </c>
      <c r="Q35">
        <v>0.26250000000000001</v>
      </c>
      <c r="R35">
        <v>62.09</v>
      </c>
      <c r="S35">
        <v>2.2000000000000002</v>
      </c>
      <c r="U35" s="8" t="s">
        <v>110</v>
      </c>
      <c r="V35">
        <v>90000</v>
      </c>
      <c r="AD35" s="8" t="s">
        <v>110</v>
      </c>
      <c r="AE35">
        <v>90000</v>
      </c>
    </row>
    <row r="36" spans="1:32" x14ac:dyDescent="0.3">
      <c r="A36" t="s">
        <v>53</v>
      </c>
      <c r="B36" t="s">
        <v>19</v>
      </c>
      <c r="C36">
        <v>293.3</v>
      </c>
      <c r="E36">
        <v>302.30759999999998</v>
      </c>
      <c r="F36">
        <v>-39.873869999999997</v>
      </c>
      <c r="G36">
        <v>381.00664999999998</v>
      </c>
      <c r="H36">
        <v>1.0000000000000001E-5</v>
      </c>
      <c r="J36">
        <v>0.52600999999999998</v>
      </c>
      <c r="K36">
        <v>0.186</v>
      </c>
      <c r="L36">
        <v>1.5</v>
      </c>
      <c r="M36">
        <v>60.08</v>
      </c>
      <c r="N36">
        <v>0.16950000000000001</v>
      </c>
      <c r="O36">
        <v>0.1714</v>
      </c>
      <c r="Q36">
        <v>0.17449999999999999</v>
      </c>
      <c r="R36">
        <v>61.35</v>
      </c>
      <c r="S36">
        <v>3.3</v>
      </c>
      <c r="U36" s="8" t="s">
        <v>111</v>
      </c>
      <c r="V36">
        <v>95000</v>
      </c>
      <c r="AD36" s="8" t="s">
        <v>111</v>
      </c>
      <c r="AE36">
        <v>95000</v>
      </c>
    </row>
    <row r="37" spans="1:32" x14ac:dyDescent="0.3">
      <c r="A37" t="s">
        <v>54</v>
      </c>
      <c r="B37" t="s">
        <v>19</v>
      </c>
      <c r="C37">
        <v>7</v>
      </c>
      <c r="E37">
        <v>-650.16728999999998</v>
      </c>
      <c r="F37">
        <v>-39.873869999999997</v>
      </c>
      <c r="G37">
        <v>381.00664999999998</v>
      </c>
      <c r="H37">
        <v>1.0000000000000001E-5</v>
      </c>
      <c r="J37">
        <v>-0.47399000000000002</v>
      </c>
      <c r="K37">
        <v>0.26850000000000002</v>
      </c>
      <c r="L37">
        <v>6.5</v>
      </c>
      <c r="M37">
        <v>59.23</v>
      </c>
      <c r="N37">
        <v>0.28349999999999997</v>
      </c>
      <c r="O37">
        <v>0.28860000000000002</v>
      </c>
      <c r="Q37">
        <v>0.29899999999999999</v>
      </c>
      <c r="R37">
        <v>63.6</v>
      </c>
      <c r="S37">
        <v>3</v>
      </c>
      <c r="U37" s="8" t="s">
        <v>112</v>
      </c>
      <c r="V37">
        <v>100000</v>
      </c>
      <c r="AD37" s="8" t="s">
        <v>112</v>
      </c>
      <c r="AE37">
        <v>100000</v>
      </c>
    </row>
    <row r="38" spans="1:32" x14ac:dyDescent="0.3">
      <c r="A38" t="s">
        <v>55</v>
      </c>
      <c r="B38" t="s">
        <v>19</v>
      </c>
      <c r="C38" t="s">
        <v>19</v>
      </c>
      <c r="E38">
        <v>288.69882999999999</v>
      </c>
      <c r="F38">
        <v>-40.148060000000001</v>
      </c>
      <c r="G38">
        <v>381.80689000000001</v>
      </c>
      <c r="H38">
        <v>1.0000000000000001E-5</v>
      </c>
      <c r="J38">
        <v>0.49691999999999997</v>
      </c>
      <c r="K38" t="s">
        <v>19</v>
      </c>
      <c r="L38">
        <v>1.3</v>
      </c>
      <c r="M38">
        <v>60.41</v>
      </c>
      <c r="N38">
        <v>0.1565</v>
      </c>
      <c r="O38">
        <v>0.1583</v>
      </c>
      <c r="Q38">
        <v>0.161</v>
      </c>
      <c r="R38">
        <v>61.68</v>
      </c>
      <c r="S38">
        <v>2</v>
      </c>
      <c r="U38" s="8" t="s">
        <v>115</v>
      </c>
      <c r="V38">
        <f>O25</f>
        <v>0.12180000000000001</v>
      </c>
      <c r="AD38" s="8" t="s">
        <v>115</v>
      </c>
      <c r="AE38">
        <f>V38</f>
        <v>0.12180000000000001</v>
      </c>
    </row>
    <row r="39" spans="1:32" x14ac:dyDescent="0.3">
      <c r="A39" t="s">
        <v>56</v>
      </c>
      <c r="B39" t="s">
        <v>19</v>
      </c>
      <c r="C39" t="s">
        <v>19</v>
      </c>
      <c r="E39">
        <v>-703.46249999999998</v>
      </c>
      <c r="F39">
        <v>-40.148180000000004</v>
      </c>
      <c r="G39">
        <v>381.80689000000001</v>
      </c>
      <c r="H39">
        <v>1.0000000000000001E-5</v>
      </c>
      <c r="J39">
        <v>-0.50307000000000002</v>
      </c>
      <c r="K39" t="s">
        <v>19</v>
      </c>
      <c r="L39">
        <v>32.9</v>
      </c>
      <c r="M39">
        <v>49.66</v>
      </c>
      <c r="N39">
        <v>0.28199999999999997</v>
      </c>
      <c r="O39">
        <v>0.32190000000000002</v>
      </c>
      <c r="Q39">
        <v>0.375</v>
      </c>
      <c r="R39">
        <v>75.89</v>
      </c>
      <c r="S39">
        <v>3</v>
      </c>
      <c r="U39" s="8" t="s">
        <v>114</v>
      </c>
      <c r="V39">
        <f>O27</f>
        <v>0.1449</v>
      </c>
      <c r="AD39" s="8" t="s">
        <v>114</v>
      </c>
      <c r="AE39">
        <f>V39</f>
        <v>0.1449</v>
      </c>
    </row>
    <row r="40" spans="1:32" x14ac:dyDescent="0.3">
      <c r="A40" t="s">
        <v>57</v>
      </c>
      <c r="B40">
        <v>0.3</v>
      </c>
      <c r="C40">
        <v>211.8</v>
      </c>
      <c r="E40">
        <v>275.38502999999997</v>
      </c>
      <c r="F40">
        <v>-40.301499999999997</v>
      </c>
      <c r="G40">
        <v>380.72237999999999</v>
      </c>
      <c r="H40">
        <v>1.0000000000000001E-5</v>
      </c>
      <c r="J40">
        <v>0.46977999999999998</v>
      </c>
      <c r="K40">
        <v>0.14799999999999999</v>
      </c>
      <c r="L40">
        <v>1.6</v>
      </c>
      <c r="M40">
        <v>60.68</v>
      </c>
      <c r="N40">
        <v>0.14449999999999999</v>
      </c>
      <c r="O40">
        <v>0.14680000000000001</v>
      </c>
      <c r="Q40">
        <v>0.14949999999999999</v>
      </c>
      <c r="R40">
        <v>62.09</v>
      </c>
      <c r="S40">
        <v>3.3</v>
      </c>
      <c r="U40" s="8" t="s">
        <v>113</v>
      </c>
      <c r="V40">
        <f>O29</f>
        <v>0.1706</v>
      </c>
      <c r="AD40" s="8" t="s">
        <v>113</v>
      </c>
      <c r="AE40">
        <f>O29</f>
        <v>0.1706</v>
      </c>
    </row>
    <row r="41" spans="1:32" x14ac:dyDescent="0.3">
      <c r="A41" t="s">
        <v>58</v>
      </c>
      <c r="B41">
        <v>1.9</v>
      </c>
      <c r="C41">
        <v>36.799999999999997</v>
      </c>
      <c r="E41">
        <v>-756.46276</v>
      </c>
      <c r="F41">
        <v>-40.301499999999997</v>
      </c>
      <c r="G41">
        <v>380.72237999999999</v>
      </c>
      <c r="H41">
        <v>1.0000000000000001E-5</v>
      </c>
      <c r="J41">
        <v>-0.53022000000000002</v>
      </c>
      <c r="K41">
        <v>0.35649999999999998</v>
      </c>
      <c r="L41">
        <v>3</v>
      </c>
      <c r="M41">
        <v>58.52</v>
      </c>
      <c r="N41">
        <v>0.34699999999999998</v>
      </c>
      <c r="O41">
        <v>0.35699999999999998</v>
      </c>
      <c r="Q41">
        <v>0.36699999999999999</v>
      </c>
      <c r="R41">
        <v>64.17</v>
      </c>
      <c r="S41">
        <v>3</v>
      </c>
      <c r="U41" s="8" t="s">
        <v>101</v>
      </c>
      <c r="V41">
        <f>X6</f>
        <v>92926.97</v>
      </c>
      <c r="AD41" s="8" t="s">
        <v>101</v>
      </c>
      <c r="AE41">
        <f>X6</f>
        <v>92926.97</v>
      </c>
    </row>
    <row r="42" spans="1:32" x14ac:dyDescent="0.3">
      <c r="A42" t="s">
        <v>59</v>
      </c>
      <c r="B42">
        <v>0.2</v>
      </c>
      <c r="C42">
        <v>211.5</v>
      </c>
      <c r="E42">
        <v>249.83472</v>
      </c>
      <c r="F42">
        <v>-39.942950000000003</v>
      </c>
      <c r="G42">
        <v>373.91395999999997</v>
      </c>
      <c r="H42">
        <v>1.0000000000000001E-5</v>
      </c>
      <c r="J42">
        <v>0.41896</v>
      </c>
      <c r="K42">
        <v>0.127</v>
      </c>
      <c r="L42">
        <v>7.9</v>
      </c>
      <c r="M42">
        <v>61.33</v>
      </c>
      <c r="N42">
        <v>0.124</v>
      </c>
      <c r="O42">
        <v>0.12590000000000001</v>
      </c>
      <c r="Q42">
        <v>0.1285</v>
      </c>
      <c r="R42">
        <v>62.62</v>
      </c>
      <c r="S42">
        <v>0.7</v>
      </c>
      <c r="U42" s="2" t="s">
        <v>108</v>
      </c>
      <c r="W42">
        <f>V38+V40-2*V39</f>
        <v>2.5999999999999912E-3</v>
      </c>
      <c r="AD42" s="2" t="s">
        <v>108</v>
      </c>
      <c r="AF42" cm="1">
        <f t="array" ref="AF42">BF_netpremiumpaid(AE38,AE39,AE40)</f>
        <v>2.6000000000000051E-3</v>
      </c>
    </row>
    <row r="43" spans="1:32" x14ac:dyDescent="0.3">
      <c r="A43" t="s">
        <v>60</v>
      </c>
      <c r="B43" t="s">
        <v>19</v>
      </c>
      <c r="C43">
        <v>1.1000000000000001</v>
      </c>
      <c r="E43">
        <v>-861.38570000000004</v>
      </c>
      <c r="F43">
        <v>-39.94314</v>
      </c>
      <c r="G43">
        <v>373.91419999999999</v>
      </c>
      <c r="H43">
        <v>1.0000000000000001E-5</v>
      </c>
      <c r="J43">
        <v>-0.58103000000000005</v>
      </c>
      <c r="K43">
        <v>0.4</v>
      </c>
      <c r="L43">
        <v>2.9</v>
      </c>
      <c r="M43">
        <v>51.02</v>
      </c>
      <c r="N43">
        <v>0.39200000000000002</v>
      </c>
      <c r="O43">
        <v>0.42920000000000003</v>
      </c>
      <c r="Q43">
        <v>0.48499999999999999</v>
      </c>
      <c r="R43">
        <v>77.73</v>
      </c>
      <c r="S43">
        <v>2.9</v>
      </c>
      <c r="U43" s="2" t="s">
        <v>102</v>
      </c>
      <c r="W43">
        <f>V36-V35-W42</f>
        <v>4999.9974000000002</v>
      </c>
      <c r="AD43" s="2" t="s">
        <v>102</v>
      </c>
      <c r="AF43" cm="1">
        <f t="array" ref="AF43">BF_maxprofit(AE35,AE36,AE38,AE39,AE40)</f>
        <v>4999.9974000000002</v>
      </c>
    </row>
    <row r="44" spans="1:32" x14ac:dyDescent="0.3">
      <c r="A44" t="s">
        <v>61</v>
      </c>
      <c r="B44" t="s">
        <v>19</v>
      </c>
      <c r="C44">
        <v>435.9</v>
      </c>
      <c r="E44">
        <v>226.44711000000001</v>
      </c>
      <c r="F44">
        <v>-39.236069999999998</v>
      </c>
      <c r="G44">
        <v>362.87578999999999</v>
      </c>
      <c r="H44">
        <v>1.0000000000000001E-5</v>
      </c>
      <c r="J44">
        <v>0.37486000000000003</v>
      </c>
      <c r="K44">
        <v>0.1145</v>
      </c>
      <c r="L44">
        <v>18.7</v>
      </c>
      <c r="M44">
        <v>61.97</v>
      </c>
      <c r="N44">
        <v>0.107</v>
      </c>
      <c r="O44">
        <v>0.10929999999999999</v>
      </c>
      <c r="Q44">
        <v>0.112</v>
      </c>
      <c r="R44">
        <v>63.45</v>
      </c>
      <c r="S44">
        <v>9.6999999999999993</v>
      </c>
      <c r="U44" s="2" t="s">
        <v>103</v>
      </c>
      <c r="W44">
        <f>W42</f>
        <v>2.5999999999999912E-3</v>
      </c>
      <c r="AD44" s="2" t="s">
        <v>103</v>
      </c>
      <c r="AF44" cm="1">
        <f t="array" ref="AF44">BF_maxloss(AE38,AE39,AE40)</f>
        <v>2.6000000000000051E-3</v>
      </c>
    </row>
    <row r="45" spans="1:32" x14ac:dyDescent="0.3">
      <c r="A45" t="s">
        <v>62</v>
      </c>
      <c r="B45" t="s">
        <v>19</v>
      </c>
      <c r="C45">
        <v>1</v>
      </c>
      <c r="E45">
        <v>-964.14649999999995</v>
      </c>
      <c r="F45">
        <v>-39.236069999999998</v>
      </c>
      <c r="G45">
        <v>362.87578999999999</v>
      </c>
      <c r="H45">
        <v>1.0000000000000001E-5</v>
      </c>
      <c r="J45">
        <v>-0.62514000000000003</v>
      </c>
      <c r="K45">
        <v>0.47799999999999998</v>
      </c>
      <c r="L45">
        <v>2.5</v>
      </c>
      <c r="M45">
        <v>60.39</v>
      </c>
      <c r="N45">
        <v>0.498</v>
      </c>
      <c r="O45">
        <v>0.50570000000000004</v>
      </c>
      <c r="Q45">
        <v>0.51349999999999996</v>
      </c>
      <c r="R45">
        <v>64.98</v>
      </c>
      <c r="S45">
        <v>2</v>
      </c>
      <c r="U45" s="2" t="s">
        <v>117</v>
      </c>
      <c r="W45">
        <f>V35+W42</f>
        <v>90000.002600000007</v>
      </c>
      <c r="AD45" s="2" t="s">
        <v>117</v>
      </c>
      <c r="AF45" s="11" cm="1">
        <f t="array" ref="AF45">BF_breakeven_low(AE35,AE38,AE39,AE40)</f>
        <v>90000.002600000007</v>
      </c>
    </row>
    <row r="46" spans="1:32" x14ac:dyDescent="0.3">
      <c r="A46" t="s">
        <v>63</v>
      </c>
      <c r="B46" t="s">
        <v>19</v>
      </c>
      <c r="C46">
        <v>301.3</v>
      </c>
      <c r="E46">
        <v>205.22363999999999</v>
      </c>
      <c r="F46">
        <v>-38.17774</v>
      </c>
      <c r="G46">
        <v>349.08938000000001</v>
      </c>
      <c r="H46">
        <v>1.0000000000000001E-5</v>
      </c>
      <c r="J46">
        <v>0.33601999999999999</v>
      </c>
      <c r="K46">
        <v>0.1055</v>
      </c>
      <c r="L46">
        <v>14.8</v>
      </c>
      <c r="M46">
        <v>62.65</v>
      </c>
      <c r="N46">
        <v>9.2999999999999999E-2</v>
      </c>
      <c r="O46">
        <v>9.5299999999999996E-2</v>
      </c>
      <c r="Q46">
        <v>9.8000000000000004E-2</v>
      </c>
      <c r="R46">
        <v>64.19</v>
      </c>
      <c r="S46">
        <v>9.6999999999999993</v>
      </c>
      <c r="U46" s="2" t="s">
        <v>118</v>
      </c>
      <c r="W46" s="5">
        <f>V37-W42</f>
        <v>99999.997399999993</v>
      </c>
      <c r="AD46" s="2" t="s">
        <v>118</v>
      </c>
      <c r="AF46" s="5" cm="1">
        <f t="array" ref="AF46">BF_breakeven_high(AE37,AE38,AE39,AE40)</f>
        <v>99999.997399999993</v>
      </c>
    </row>
    <row r="47" spans="1:32" x14ac:dyDescent="0.3">
      <c r="A47" t="s">
        <v>64</v>
      </c>
      <c r="B47" t="s">
        <v>19</v>
      </c>
      <c r="C47">
        <v>8.1</v>
      </c>
      <c r="E47">
        <v>-1064.74287</v>
      </c>
      <c r="F47">
        <v>-38.17774</v>
      </c>
      <c r="G47">
        <v>349.08938000000001</v>
      </c>
      <c r="H47">
        <v>1.0000000000000001E-5</v>
      </c>
      <c r="J47">
        <v>-0.66398000000000001</v>
      </c>
      <c r="K47">
        <v>0.55500000000000005</v>
      </c>
      <c r="L47">
        <v>9.1999999999999993</v>
      </c>
      <c r="M47">
        <v>60.5</v>
      </c>
      <c r="N47">
        <v>0.57550000000000001</v>
      </c>
      <c r="O47">
        <v>0.58479999999999999</v>
      </c>
      <c r="Q47">
        <v>0.59099999999999997</v>
      </c>
      <c r="R47">
        <v>65.290000000000006</v>
      </c>
      <c r="S47">
        <v>1</v>
      </c>
      <c r="U47" s="2" t="s">
        <v>116</v>
      </c>
      <c r="W47" s="6">
        <f>IF(V41&lt;V35,-W42,IF(AND(V41&gt;=V35,V41&lt;V36),V41-V35-W42,IF(AND(V41&gt;=V36, V41&lt;=V37),V36-V41-W42,-W42)))</f>
        <v>2926.9674000000014</v>
      </c>
      <c r="AD47" s="2" t="s">
        <v>116</v>
      </c>
      <c r="AF47" s="6" cm="1">
        <f t="array" ref="AF47">BF_profit(AE41,AE35,AE36,AE37,AE38,AE39,AE40)</f>
        <v>2926.9674000000014</v>
      </c>
    </row>
    <row r="48" spans="1:32" x14ac:dyDescent="0.3">
      <c r="A48" t="s">
        <v>65</v>
      </c>
      <c r="B48" t="s">
        <v>19</v>
      </c>
      <c r="C48">
        <v>29.7</v>
      </c>
      <c r="E48">
        <v>185.64834999999999</v>
      </c>
      <c r="F48">
        <v>-36.714829999999999</v>
      </c>
      <c r="G48">
        <v>333.1327</v>
      </c>
      <c r="H48">
        <v>1.0000000000000001E-5</v>
      </c>
      <c r="J48">
        <v>0.30073</v>
      </c>
      <c r="K48">
        <v>8.3000000000000004E-2</v>
      </c>
      <c r="L48">
        <v>3.8</v>
      </c>
      <c r="M48">
        <v>63.37</v>
      </c>
      <c r="N48">
        <v>8.1500000000000003E-2</v>
      </c>
      <c r="O48">
        <v>8.3000000000000004E-2</v>
      </c>
      <c r="Q48">
        <v>8.5000000000000006E-2</v>
      </c>
      <c r="R48">
        <v>64.5</v>
      </c>
      <c r="S48">
        <v>26.5</v>
      </c>
    </row>
    <row r="49" spans="1:32" x14ac:dyDescent="0.3">
      <c r="A49" t="s">
        <v>66</v>
      </c>
      <c r="B49" t="s">
        <v>19</v>
      </c>
      <c r="C49" t="s">
        <v>19</v>
      </c>
      <c r="E49">
        <v>-1163.6910800000001</v>
      </c>
      <c r="F49">
        <v>-36.714829999999999</v>
      </c>
      <c r="G49">
        <v>333.1327</v>
      </c>
      <c r="H49">
        <v>1.0000000000000001E-5</v>
      </c>
      <c r="J49">
        <v>-0.69926999999999995</v>
      </c>
      <c r="K49" t="s">
        <v>19</v>
      </c>
      <c r="L49">
        <v>9</v>
      </c>
      <c r="M49">
        <v>60.59</v>
      </c>
      <c r="N49">
        <v>0.65549999999999997</v>
      </c>
      <c r="O49">
        <v>0.66559999999999997</v>
      </c>
      <c r="Q49">
        <v>0.67500000000000004</v>
      </c>
      <c r="R49">
        <v>66.89</v>
      </c>
      <c r="S49">
        <v>2.1</v>
      </c>
    </row>
    <row r="50" spans="1:32" x14ac:dyDescent="0.3">
      <c r="A50" t="s">
        <v>67</v>
      </c>
      <c r="B50" t="s">
        <v>19</v>
      </c>
      <c r="C50">
        <v>173.2</v>
      </c>
      <c r="E50">
        <v>169.05557999999999</v>
      </c>
      <c r="F50">
        <v>-35.482959999999999</v>
      </c>
      <c r="G50">
        <v>317.63105000000002</v>
      </c>
      <c r="H50">
        <v>1.0000000000000001E-5</v>
      </c>
      <c r="J50">
        <v>0.27201999999999998</v>
      </c>
      <c r="K50">
        <v>7.8E-2</v>
      </c>
      <c r="L50">
        <v>6.4</v>
      </c>
      <c r="M50">
        <v>63.96</v>
      </c>
      <c r="N50">
        <v>7.1499999999999994E-2</v>
      </c>
      <c r="O50">
        <v>7.3700000000000002E-2</v>
      </c>
      <c r="Q50">
        <v>7.5999999999999998E-2</v>
      </c>
      <c r="R50">
        <v>65.48</v>
      </c>
      <c r="S50">
        <v>3.9</v>
      </c>
    </row>
    <row r="51" spans="1:32" x14ac:dyDescent="0.3">
      <c r="A51" t="s">
        <v>68</v>
      </c>
      <c r="B51" t="s">
        <v>19</v>
      </c>
      <c r="C51">
        <v>1</v>
      </c>
      <c r="E51">
        <v>-1259.6567399999999</v>
      </c>
      <c r="F51">
        <v>-35.482959999999999</v>
      </c>
      <c r="G51">
        <v>317.63105000000002</v>
      </c>
      <c r="H51">
        <v>1.0000000000000001E-5</v>
      </c>
      <c r="J51">
        <v>-0.72797999999999996</v>
      </c>
      <c r="K51">
        <v>0.83750000000000002</v>
      </c>
      <c r="L51">
        <v>3</v>
      </c>
      <c r="M51" t="s">
        <v>19</v>
      </c>
      <c r="N51">
        <v>0.65849999999999997</v>
      </c>
      <c r="O51">
        <v>0.74939999999999996</v>
      </c>
      <c r="Q51" t="s">
        <v>19</v>
      </c>
      <c r="R51" t="s">
        <v>19</v>
      </c>
      <c r="S51" t="s">
        <v>19</v>
      </c>
      <c r="T51" s="7" t="s">
        <v>119</v>
      </c>
      <c r="AC51" s="10" t="s">
        <v>119</v>
      </c>
    </row>
    <row r="52" spans="1:32" x14ac:dyDescent="0.3">
      <c r="A52" t="s">
        <v>69</v>
      </c>
      <c r="B52" t="s">
        <v>19</v>
      </c>
      <c r="C52">
        <v>24.5</v>
      </c>
      <c r="E52">
        <v>153.79781</v>
      </c>
      <c r="F52">
        <v>-33.996470000000002</v>
      </c>
      <c r="G52">
        <v>301.35383000000002</v>
      </c>
      <c r="H52">
        <v>1.0000000000000001E-5</v>
      </c>
      <c r="J52">
        <v>0.24573</v>
      </c>
      <c r="K52">
        <v>6.9500000000000006E-2</v>
      </c>
      <c r="L52">
        <v>2</v>
      </c>
      <c r="M52">
        <v>64.7</v>
      </c>
      <c r="N52">
        <v>6.3500000000000001E-2</v>
      </c>
      <c r="O52">
        <v>6.54E-2</v>
      </c>
      <c r="Q52">
        <v>6.7500000000000004E-2</v>
      </c>
      <c r="R52">
        <v>66.12</v>
      </c>
      <c r="S52">
        <v>11.1</v>
      </c>
      <c r="U52" s="8" t="s">
        <v>120</v>
      </c>
      <c r="V52">
        <v>95000</v>
      </c>
      <c r="AD52" s="8" t="s">
        <v>120</v>
      </c>
      <c r="AE52">
        <v>95000</v>
      </c>
    </row>
    <row r="53" spans="1:32" x14ac:dyDescent="0.3">
      <c r="A53" t="s">
        <v>70</v>
      </c>
      <c r="B53" t="s">
        <v>19</v>
      </c>
      <c r="C53">
        <v>0.7</v>
      </c>
      <c r="E53">
        <v>-1354.2874200000001</v>
      </c>
      <c r="F53">
        <v>-33.996470000000002</v>
      </c>
      <c r="G53">
        <v>301.35383000000002</v>
      </c>
      <c r="H53">
        <v>1.0000000000000001E-5</v>
      </c>
      <c r="J53">
        <v>-0.75427</v>
      </c>
      <c r="K53">
        <v>0.84599999999999997</v>
      </c>
      <c r="L53" t="s">
        <v>19</v>
      </c>
      <c r="M53" t="s">
        <v>19</v>
      </c>
      <c r="N53" t="s">
        <v>19</v>
      </c>
      <c r="O53">
        <v>0.83409999999999995</v>
      </c>
      <c r="Q53">
        <v>0.97499999999999998</v>
      </c>
      <c r="R53">
        <v>108.27</v>
      </c>
      <c r="S53">
        <v>2.7</v>
      </c>
      <c r="U53" s="8" t="s">
        <v>121</v>
      </c>
      <c r="V53">
        <f>O27</f>
        <v>0.1449</v>
      </c>
      <c r="AD53" s="8" t="s">
        <v>121</v>
      </c>
      <c r="AE53">
        <f>O27</f>
        <v>0.1449</v>
      </c>
    </row>
    <row r="54" spans="1:32" x14ac:dyDescent="0.3">
      <c r="A54" t="s">
        <v>71</v>
      </c>
      <c r="B54">
        <v>19.100000000000001</v>
      </c>
      <c r="C54">
        <v>412.2</v>
      </c>
      <c r="E54">
        <v>140.15284</v>
      </c>
      <c r="F54">
        <v>-32.474890000000002</v>
      </c>
      <c r="G54">
        <v>285.24529000000001</v>
      </c>
      <c r="H54" t="s">
        <v>19</v>
      </c>
      <c r="J54">
        <v>0.22253000000000001</v>
      </c>
      <c r="K54">
        <v>5.8000000000000003E-2</v>
      </c>
      <c r="L54">
        <v>2.2000000000000002</v>
      </c>
      <c r="M54">
        <v>65.34</v>
      </c>
      <c r="N54">
        <v>5.6500000000000002E-2</v>
      </c>
      <c r="O54">
        <v>5.8200000000000002E-2</v>
      </c>
      <c r="Q54">
        <v>0.06</v>
      </c>
      <c r="R54">
        <v>66.650000000000006</v>
      </c>
      <c r="S54">
        <v>10.7</v>
      </c>
      <c r="U54" s="8" t="s">
        <v>122</v>
      </c>
      <c r="V54">
        <f>O26</f>
        <v>0.26050000000000001</v>
      </c>
      <c r="AD54" s="8" t="s">
        <v>122</v>
      </c>
      <c r="AE54">
        <f>O26</f>
        <v>0.26050000000000001</v>
      </c>
    </row>
    <row r="55" spans="1:32" x14ac:dyDescent="0.3">
      <c r="A55" t="s">
        <v>72</v>
      </c>
      <c r="B55" t="s">
        <v>19</v>
      </c>
      <c r="C55">
        <v>4.5</v>
      </c>
      <c r="E55">
        <v>-1447.3053</v>
      </c>
      <c r="F55">
        <v>-32.474890000000002</v>
      </c>
      <c r="G55">
        <v>285.24529000000001</v>
      </c>
      <c r="H55" t="s">
        <v>19</v>
      </c>
      <c r="J55">
        <v>-0.77746999999999999</v>
      </c>
      <c r="K55">
        <v>0.999</v>
      </c>
      <c r="L55" t="s">
        <v>19</v>
      </c>
      <c r="M55" t="s">
        <v>19</v>
      </c>
      <c r="N55" t="s">
        <v>19</v>
      </c>
      <c r="O55">
        <v>0.92</v>
      </c>
      <c r="Q55" t="s">
        <v>19</v>
      </c>
      <c r="R55" t="s">
        <v>19</v>
      </c>
      <c r="S55" t="s">
        <v>19</v>
      </c>
      <c r="U55" s="8" t="s">
        <v>101</v>
      </c>
      <c r="V55">
        <f>X6</f>
        <v>92926.97</v>
      </c>
      <c r="AD55" s="8" t="s">
        <v>101</v>
      </c>
      <c r="AE55">
        <f>X6</f>
        <v>92926.97</v>
      </c>
    </row>
    <row r="56" spans="1:32" x14ac:dyDescent="0.3">
      <c r="A56" t="s">
        <v>73</v>
      </c>
      <c r="B56" t="s">
        <v>19</v>
      </c>
      <c r="C56">
        <v>0.1</v>
      </c>
      <c r="E56">
        <v>128.27020999999999</v>
      </c>
      <c r="F56">
        <v>-31.06232</v>
      </c>
      <c r="G56">
        <v>270.07796999999999</v>
      </c>
      <c r="H56" t="s">
        <v>19</v>
      </c>
      <c r="J56">
        <v>0.20266000000000001</v>
      </c>
      <c r="K56">
        <v>5.3999999999999999E-2</v>
      </c>
      <c r="L56">
        <v>2.2000000000000002</v>
      </c>
      <c r="M56">
        <v>65.95</v>
      </c>
      <c r="N56">
        <v>5.0500000000000003E-2</v>
      </c>
      <c r="O56">
        <v>5.2200000000000003E-2</v>
      </c>
      <c r="Q56">
        <v>5.3999999999999999E-2</v>
      </c>
      <c r="R56">
        <v>67.34</v>
      </c>
      <c r="S56">
        <v>10.9</v>
      </c>
      <c r="U56" s="2" t="s">
        <v>123</v>
      </c>
      <c r="W56">
        <f>2*V53+V54</f>
        <v>0.55030000000000001</v>
      </c>
      <c r="AD56" s="2" t="s">
        <v>123</v>
      </c>
      <c r="AF56" cm="1">
        <f t="array" ref="AF56">Strip_netpremiumpaid(AE53,AE54)</f>
        <v>0.55030000000000001</v>
      </c>
    </row>
    <row r="57" spans="1:32" x14ac:dyDescent="0.3">
      <c r="A57" t="s">
        <v>74</v>
      </c>
      <c r="B57" t="s">
        <v>19</v>
      </c>
      <c r="C57" t="s">
        <v>19</v>
      </c>
      <c r="E57">
        <v>-1538.5608500000001</v>
      </c>
      <c r="F57">
        <v>-31.06232</v>
      </c>
      <c r="G57">
        <v>270.07796999999999</v>
      </c>
      <c r="H57" t="s">
        <v>19</v>
      </c>
      <c r="J57">
        <v>-0.79734000000000005</v>
      </c>
      <c r="K57" t="s">
        <v>19</v>
      </c>
      <c r="L57">
        <v>0.3</v>
      </c>
      <c r="M57" t="s">
        <v>19</v>
      </c>
      <c r="N57">
        <v>1E-4</v>
      </c>
      <c r="O57">
        <v>1.0072000000000001</v>
      </c>
      <c r="Q57" t="s">
        <v>19</v>
      </c>
      <c r="R57" t="s">
        <v>19</v>
      </c>
      <c r="S57" t="s">
        <v>19</v>
      </c>
      <c r="U57" s="2" t="s">
        <v>124</v>
      </c>
      <c r="W57">
        <f>V52+W56</f>
        <v>95000.550300000003</v>
      </c>
      <c r="AD57" s="2" t="s">
        <v>124</v>
      </c>
      <c r="AF57" cm="1">
        <f t="array" ref="AF57">Strip_breakeven_high(AE52,AE53,AE54)</f>
        <v>95000.550300000003</v>
      </c>
    </row>
    <row r="58" spans="1:32" x14ac:dyDescent="0.3">
      <c r="A58" t="s">
        <v>75</v>
      </c>
      <c r="B58">
        <v>1.7</v>
      </c>
      <c r="C58">
        <v>274.10000000000002</v>
      </c>
      <c r="E58">
        <v>117.63497</v>
      </c>
      <c r="F58">
        <v>-29.663589999999999</v>
      </c>
      <c r="G58">
        <v>255.49695</v>
      </c>
      <c r="H58" t="s">
        <v>19</v>
      </c>
      <c r="J58">
        <v>0.18503</v>
      </c>
      <c r="K58">
        <v>0.05</v>
      </c>
      <c r="L58">
        <v>2.2000000000000002</v>
      </c>
      <c r="M58">
        <v>66.61</v>
      </c>
      <c r="N58">
        <v>4.5499999999999999E-2</v>
      </c>
      <c r="O58">
        <v>4.7100000000000003E-2</v>
      </c>
      <c r="Q58">
        <v>4.8500000000000001E-2</v>
      </c>
      <c r="R58">
        <v>67.87</v>
      </c>
      <c r="S58">
        <v>9.4</v>
      </c>
      <c r="U58" s="2" t="s">
        <v>125</v>
      </c>
      <c r="W58">
        <f>V52-W56/2</f>
        <v>94999.724849999999</v>
      </c>
      <c r="AD58" s="2" t="s">
        <v>125</v>
      </c>
      <c r="AF58" cm="1">
        <f t="array" ref="AF58">Strip_breakeven_low(AE52,AE53,AE54)</f>
        <v>94999.449699999997</v>
      </c>
    </row>
    <row r="59" spans="1:32" x14ac:dyDescent="0.3">
      <c r="A59" t="s">
        <v>76</v>
      </c>
      <c r="B59" t="s">
        <v>19</v>
      </c>
      <c r="C59">
        <v>1.4</v>
      </c>
      <c r="E59">
        <v>-1628.56898</v>
      </c>
      <c r="F59">
        <v>-29.663589999999999</v>
      </c>
      <c r="G59">
        <v>255.49695</v>
      </c>
      <c r="H59" t="s">
        <v>19</v>
      </c>
      <c r="J59">
        <v>-0.81496999999999997</v>
      </c>
      <c r="K59">
        <v>1.1000000000000001</v>
      </c>
      <c r="L59" t="s">
        <v>19</v>
      </c>
      <c r="M59" t="s">
        <v>19</v>
      </c>
      <c r="N59" t="s">
        <v>19</v>
      </c>
      <c r="O59">
        <v>1.0951</v>
      </c>
      <c r="Q59" t="s">
        <v>19</v>
      </c>
      <c r="R59" t="s">
        <v>19</v>
      </c>
      <c r="S59" t="s">
        <v>19</v>
      </c>
      <c r="U59" s="2" t="s">
        <v>126</v>
      </c>
      <c r="W59">
        <f>W56</f>
        <v>0.55030000000000001</v>
      </c>
      <c r="AD59" s="2" t="s">
        <v>126</v>
      </c>
      <c r="AF59" cm="1">
        <f t="array" ref="AF59">Strip_maxloss(AE53,AE54)</f>
        <v>0.55030000000000001</v>
      </c>
    </row>
    <row r="60" spans="1:32" x14ac:dyDescent="0.3">
      <c r="A60" t="s">
        <v>77</v>
      </c>
      <c r="B60" t="s">
        <v>19</v>
      </c>
      <c r="C60">
        <v>153.80000000000001</v>
      </c>
      <c r="E60">
        <v>99.80659</v>
      </c>
      <c r="F60">
        <v>-27.064789999999999</v>
      </c>
      <c r="G60">
        <v>228.88276999999999</v>
      </c>
      <c r="H60" t="s">
        <v>19</v>
      </c>
      <c r="J60">
        <v>0.15584999999999999</v>
      </c>
      <c r="K60">
        <v>4.2999999999999997E-2</v>
      </c>
      <c r="L60">
        <v>2.1</v>
      </c>
      <c r="M60">
        <v>67.900000000000006</v>
      </c>
      <c r="N60">
        <v>3.7499999999999999E-2</v>
      </c>
      <c r="O60">
        <v>3.8800000000000001E-2</v>
      </c>
      <c r="Q60">
        <v>0.04</v>
      </c>
      <c r="R60">
        <v>69.08</v>
      </c>
      <c r="S60">
        <v>3</v>
      </c>
      <c r="U60" s="2" t="s">
        <v>127</v>
      </c>
      <c r="W60">
        <f>IF(V52=V55,-W56,IF(V55&gt;V52,MAX(V55-V52,0)-W56,2*MAX(V52-V55,0)-W56))</f>
        <v>4145.5096999999978</v>
      </c>
      <c r="AD60" s="2" t="s">
        <v>127</v>
      </c>
      <c r="AF60" cm="1">
        <f t="array" ref="AF60">Strip_profit(AE55,AE52,AE53,AE54)</f>
        <v>4145.5096999999978</v>
      </c>
    </row>
    <row r="61" spans="1:32" x14ac:dyDescent="0.3">
      <c r="A61" t="s">
        <v>78</v>
      </c>
      <c r="B61" t="s">
        <v>19</v>
      </c>
      <c r="C61" t="s">
        <v>19</v>
      </c>
      <c r="E61">
        <v>-1805.14318</v>
      </c>
      <c r="F61">
        <v>-27.064789999999999</v>
      </c>
      <c r="G61">
        <v>228.88276999999999</v>
      </c>
      <c r="H61" t="s">
        <v>19</v>
      </c>
      <c r="J61">
        <v>-0.84414999999999996</v>
      </c>
      <c r="K61" t="s">
        <v>19</v>
      </c>
      <c r="L61" t="s">
        <v>19</v>
      </c>
      <c r="M61" t="s">
        <v>19</v>
      </c>
      <c r="N61" t="s">
        <v>19</v>
      </c>
      <c r="O61">
        <v>1.2729999999999999</v>
      </c>
      <c r="Q61" t="s">
        <v>19</v>
      </c>
      <c r="R61" t="s">
        <v>19</v>
      </c>
      <c r="S61" t="s">
        <v>19</v>
      </c>
    </row>
    <row r="62" spans="1:32" x14ac:dyDescent="0.3">
      <c r="A62" t="s">
        <v>79</v>
      </c>
      <c r="B62" t="s">
        <v>19</v>
      </c>
      <c r="C62">
        <v>69.599999999999994</v>
      </c>
      <c r="E62">
        <v>85.78</v>
      </c>
      <c r="F62">
        <v>-24.795760000000001</v>
      </c>
      <c r="G62">
        <v>205.9298</v>
      </c>
      <c r="H62" t="s">
        <v>19</v>
      </c>
      <c r="J62">
        <v>0.13324</v>
      </c>
      <c r="K62">
        <v>3.5499999999999997E-2</v>
      </c>
      <c r="L62">
        <v>2.1</v>
      </c>
      <c r="M62">
        <v>69.17</v>
      </c>
      <c r="N62">
        <v>3.15E-2</v>
      </c>
      <c r="O62">
        <v>3.2599999999999997E-2</v>
      </c>
      <c r="Q62">
        <v>3.4000000000000002E-2</v>
      </c>
      <c r="R62">
        <v>70.47</v>
      </c>
      <c r="S62">
        <v>5.3</v>
      </c>
    </row>
    <row r="63" spans="1:32" x14ac:dyDescent="0.3">
      <c r="A63" t="s">
        <v>80</v>
      </c>
      <c r="B63" t="s">
        <v>19</v>
      </c>
      <c r="C63" t="s">
        <v>19</v>
      </c>
      <c r="E63">
        <v>-1977.9155900000001</v>
      </c>
      <c r="F63">
        <v>-24.795760000000001</v>
      </c>
      <c r="G63">
        <v>205.9298</v>
      </c>
      <c r="H63" t="s">
        <v>19</v>
      </c>
      <c r="J63">
        <v>-0.86675999999999997</v>
      </c>
      <c r="K63">
        <v>1.524</v>
      </c>
      <c r="L63">
        <v>8.3000000000000007</v>
      </c>
      <c r="M63">
        <v>61.88</v>
      </c>
      <c r="N63">
        <v>1.4395</v>
      </c>
      <c r="O63">
        <v>1.4530000000000001</v>
      </c>
      <c r="Q63">
        <v>1.4675</v>
      </c>
      <c r="R63">
        <v>76.739999999999995</v>
      </c>
      <c r="S63">
        <v>8.5</v>
      </c>
    </row>
    <row r="64" spans="1:32" x14ac:dyDescent="0.3">
      <c r="A64" t="s">
        <v>81</v>
      </c>
      <c r="B64">
        <v>10</v>
      </c>
      <c r="C64">
        <v>277.3</v>
      </c>
      <c r="E64">
        <v>74.315460000000002</v>
      </c>
      <c r="F64">
        <v>-22.71677</v>
      </c>
      <c r="G64">
        <v>185.65792999999999</v>
      </c>
      <c r="H64" t="s">
        <v>19</v>
      </c>
      <c r="J64">
        <v>0.1149</v>
      </c>
      <c r="K64">
        <v>0.03</v>
      </c>
      <c r="L64">
        <v>17.600000000000001</v>
      </c>
      <c r="M64">
        <v>70.17</v>
      </c>
      <c r="N64">
        <v>2.6499999999999999E-2</v>
      </c>
      <c r="O64">
        <v>2.7699999999999999E-2</v>
      </c>
      <c r="Q64">
        <v>2.9000000000000001E-2</v>
      </c>
      <c r="R64">
        <v>71.61</v>
      </c>
      <c r="S64">
        <v>1</v>
      </c>
    </row>
    <row r="65" spans="1:32" x14ac:dyDescent="0.3">
      <c r="A65" t="s">
        <v>82</v>
      </c>
      <c r="B65" t="s">
        <v>19</v>
      </c>
      <c r="C65" t="s">
        <v>19</v>
      </c>
      <c r="E65">
        <v>-2148.1259399999999</v>
      </c>
      <c r="F65">
        <v>-22.71677</v>
      </c>
      <c r="G65">
        <v>185.65792999999999</v>
      </c>
      <c r="H65" t="s">
        <v>19</v>
      </c>
      <c r="J65">
        <v>-0.8851</v>
      </c>
      <c r="K65" t="s">
        <v>19</v>
      </c>
      <c r="L65">
        <v>0.3</v>
      </c>
      <c r="M65" t="s">
        <v>19</v>
      </c>
      <c r="N65">
        <v>1E-3</v>
      </c>
      <c r="O65">
        <v>1.6343000000000001</v>
      </c>
      <c r="Q65" t="s">
        <v>19</v>
      </c>
      <c r="R65" t="s">
        <v>19</v>
      </c>
      <c r="S65" t="s">
        <v>19</v>
      </c>
      <c r="T65" s="7" t="s">
        <v>128</v>
      </c>
      <c r="AC65" s="10" t="s">
        <v>128</v>
      </c>
    </row>
    <row r="66" spans="1:32" x14ac:dyDescent="0.3">
      <c r="A66" t="s">
        <v>83</v>
      </c>
      <c r="B66">
        <v>4.5999999999999996</v>
      </c>
      <c r="C66">
        <v>294.2</v>
      </c>
      <c r="E66">
        <v>66.121799999999993</v>
      </c>
      <c r="F66">
        <v>-21.309729999999998</v>
      </c>
      <c r="G66">
        <v>170.54094000000001</v>
      </c>
      <c r="H66" t="s">
        <v>19</v>
      </c>
      <c r="J66">
        <v>0.10211000000000001</v>
      </c>
      <c r="K66">
        <v>2.35E-2</v>
      </c>
      <c r="L66">
        <v>1.1000000000000001</v>
      </c>
      <c r="M66">
        <v>72.040000000000006</v>
      </c>
      <c r="N66">
        <v>2.4E-2</v>
      </c>
      <c r="O66">
        <v>2.46E-2</v>
      </c>
      <c r="Q66">
        <v>2.5499999999999998E-2</v>
      </c>
      <c r="R66">
        <v>72.989999999999995</v>
      </c>
      <c r="S66">
        <v>3</v>
      </c>
      <c r="U66" s="8" t="s">
        <v>120</v>
      </c>
      <c r="V66">
        <v>95000</v>
      </c>
      <c r="AD66" s="8" t="s">
        <v>120</v>
      </c>
      <c r="AE66">
        <v>95000</v>
      </c>
    </row>
    <row r="67" spans="1:32" x14ac:dyDescent="0.3">
      <c r="A67" t="s">
        <v>84</v>
      </c>
      <c r="B67" t="s">
        <v>19</v>
      </c>
      <c r="C67">
        <v>0.5</v>
      </c>
      <c r="E67">
        <v>-2315.0654100000002</v>
      </c>
      <c r="F67">
        <v>-21.309729999999998</v>
      </c>
      <c r="G67">
        <v>170.54094000000001</v>
      </c>
      <c r="H67" t="s">
        <v>19</v>
      </c>
      <c r="J67">
        <v>-0.89788999999999997</v>
      </c>
      <c r="K67">
        <v>1.776</v>
      </c>
      <c r="L67" t="s">
        <v>19</v>
      </c>
      <c r="M67" t="s">
        <v>19</v>
      </c>
      <c r="N67" t="s">
        <v>19</v>
      </c>
      <c r="O67">
        <v>1.8172999999999999</v>
      </c>
      <c r="Q67" t="s">
        <v>19</v>
      </c>
      <c r="R67" t="s">
        <v>19</v>
      </c>
      <c r="S67" t="s">
        <v>19</v>
      </c>
      <c r="U67" s="8" t="s">
        <v>129</v>
      </c>
      <c r="V67">
        <f>O26</f>
        <v>0.26050000000000001</v>
      </c>
      <c r="AD67" s="8" t="s">
        <v>129</v>
      </c>
      <c r="AE67">
        <f>O26</f>
        <v>0.26050000000000001</v>
      </c>
    </row>
    <row r="68" spans="1:32" x14ac:dyDescent="0.3">
      <c r="U68" s="8" t="s">
        <v>130</v>
      </c>
      <c r="V68">
        <f>O27</f>
        <v>0.1449</v>
      </c>
      <c r="AD68" s="8" t="s">
        <v>130</v>
      </c>
      <c r="AE68">
        <f>O27</f>
        <v>0.1449</v>
      </c>
    </row>
    <row r="69" spans="1:32" x14ac:dyDescent="0.3">
      <c r="U69" s="8" t="s">
        <v>101</v>
      </c>
      <c r="V69">
        <f>X6</f>
        <v>92926.97</v>
      </c>
      <c r="AD69" s="8" t="s">
        <v>101</v>
      </c>
      <c r="AE69">
        <f>X6</f>
        <v>92926.97</v>
      </c>
    </row>
    <row r="70" spans="1:32" x14ac:dyDescent="0.3">
      <c r="U70" s="2" t="s">
        <v>123</v>
      </c>
      <c r="W70">
        <f>2*V67+V68</f>
        <v>0.66590000000000005</v>
      </c>
      <c r="AD70" s="2" t="s">
        <v>123</v>
      </c>
      <c r="AF70" cm="1">
        <f t="array" ref="AF70">Strap_netpremiumpaid(AE67,AE68)</f>
        <v>0.66590000000000005</v>
      </c>
    </row>
    <row r="71" spans="1:32" x14ac:dyDescent="0.3">
      <c r="U71" s="2" t="s">
        <v>124</v>
      </c>
      <c r="W71">
        <f>V66+W70/2</f>
        <v>95000.332949999996</v>
      </c>
      <c r="AD71" s="2" t="s">
        <v>124</v>
      </c>
      <c r="AF71" cm="1">
        <f t="array" ref="AF71">Strap_breakeven_high(AE66,AE67,AE68)</f>
        <v>95000.332949999996</v>
      </c>
    </row>
    <row r="72" spans="1:32" x14ac:dyDescent="0.3">
      <c r="U72" s="2" t="s">
        <v>125</v>
      </c>
      <c r="W72">
        <f>V66-W70</f>
        <v>94999.334099999993</v>
      </c>
      <c r="AD72" s="2" t="s">
        <v>125</v>
      </c>
      <c r="AF72" cm="1">
        <f t="array" ref="AF72">Strap_breakeven_low(AE66,AE67,AE68)</f>
        <v>94999.334099999993</v>
      </c>
    </row>
    <row r="73" spans="1:32" x14ac:dyDescent="0.3">
      <c r="U73" s="2" t="s">
        <v>126</v>
      </c>
      <c r="W73">
        <f>W70</f>
        <v>0.66590000000000005</v>
      </c>
      <c r="AD73" s="2" t="s">
        <v>126</v>
      </c>
      <c r="AF73" cm="1">
        <f t="array" ref="AF73">Strap_maxloss(AE67,AE68)</f>
        <v>0.66590000000000005</v>
      </c>
    </row>
    <row r="74" spans="1:32" x14ac:dyDescent="0.3">
      <c r="U74" s="2" t="s">
        <v>127</v>
      </c>
      <c r="W74">
        <f>IF(V69=V66,-W70,IF(V69&gt;V66,2*MAX(V69-V66,0)-W70,MAX(V66-V69,0)-W70))</f>
        <v>2072.3640999999989</v>
      </c>
      <c r="AD74" s="2" t="s">
        <v>127</v>
      </c>
      <c r="AF74" cm="1">
        <f t="array" ref="AF74">Strap_profit(AE69,AE66,AE67,AE68)</f>
        <v>2072.3640999999989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BTC-26SEP25-export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mohamed diallo</cp:lastModifiedBy>
  <dcterms:created xsi:type="dcterms:W3CDTF">2024-12-10T14:59:37Z</dcterms:created>
  <dcterms:modified xsi:type="dcterms:W3CDTF">2024-12-21T23:22:47Z</dcterms:modified>
</cp:coreProperties>
</file>